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decah\Documents\UOTTAWA-ST PAUL-NEW\Hiver 2022\ECO 1502\Travaux Pratique\TP1\"/>
    </mc:Choice>
  </mc:AlternateContent>
  <xr:revisionPtr revIDLastSave="0" documentId="13_ncr:1_{2AABC61E-5C6D-4DFD-AA98-AC9708EAFB73}" xr6:coauthVersionLast="47" xr6:coauthVersionMax="47" xr10:uidLastSave="{00000000-0000-0000-0000-000000000000}"/>
  <bookViews>
    <workbookView xWindow="-108" yWindow="-108" windowWidth="23256" windowHeight="12576" activeTab="3" xr2:uid="{00000000-000D-0000-FFFF-FFFF00000000}"/>
  </bookViews>
  <sheets>
    <sheet name="Question 4" sheetId="8" r:id="rId1"/>
    <sheet name="Question 5" sheetId="4" r:id="rId2"/>
    <sheet name="PIB trimestriel" sheetId="3" r:id="rId3"/>
    <sheet name="IPC"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3" l="1"/>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W10" i="4"/>
  <c r="W12" i="4"/>
  <c r="W11" i="4"/>
  <c r="R11" i="4"/>
  <c r="T11" i="4"/>
  <c r="J18" i="8"/>
  <c r="I18" i="8"/>
  <c r="J16" i="8"/>
  <c r="I16" i="8"/>
  <c r="T12" i="4"/>
  <c r="T10" i="4"/>
  <c r="R10" i="4"/>
  <c r="R12" i="4"/>
  <c r="J21" i="8"/>
  <c r="J20" i="8"/>
  <c r="I20" i="8"/>
  <c r="J19" i="8"/>
  <c r="J15" i="8"/>
  <c r="J17" i="8"/>
  <c r="I15" i="8"/>
</calcChain>
</file>

<file path=xl/sharedStrings.xml><?xml version="1.0" encoding="utf-8"?>
<sst xmlns="http://schemas.openxmlformats.org/spreadsheetml/2006/main" count="304" uniqueCount="296">
  <si>
    <t>Canada</t>
  </si>
  <si>
    <t>Q1 1961</t>
  </si>
  <si>
    <t>Q2 1961</t>
  </si>
  <si>
    <t>Q3 1961</t>
  </si>
  <si>
    <t>Q4 1961</t>
  </si>
  <si>
    <t>Q1 1962</t>
  </si>
  <si>
    <t>Q2 1962</t>
  </si>
  <si>
    <t>Q3 1962</t>
  </si>
  <si>
    <t>Q4 1962</t>
  </si>
  <si>
    <t>Q1 1963</t>
  </si>
  <si>
    <t>Q2 1963</t>
  </si>
  <si>
    <t>Q3 1963</t>
  </si>
  <si>
    <t>Q4 1963</t>
  </si>
  <si>
    <t>Q1 1964</t>
  </si>
  <si>
    <t>Q2 1964</t>
  </si>
  <si>
    <t>Q3 1964</t>
  </si>
  <si>
    <t>Q4 1964</t>
  </si>
  <si>
    <t>Q1 1965</t>
  </si>
  <si>
    <t>Q2 1965</t>
  </si>
  <si>
    <t>Q3 1965</t>
  </si>
  <si>
    <t>Q4 1965</t>
  </si>
  <si>
    <t>Q1 1966</t>
  </si>
  <si>
    <t>Q2 1966</t>
  </si>
  <si>
    <t>Q3 1966</t>
  </si>
  <si>
    <t>Q4 1966</t>
  </si>
  <si>
    <t>Q1 1967</t>
  </si>
  <si>
    <t>Q2 1967</t>
  </si>
  <si>
    <t>Q3 1967</t>
  </si>
  <si>
    <t>Q4 1967</t>
  </si>
  <si>
    <t>Q1 1968</t>
  </si>
  <si>
    <t>Q2 1968</t>
  </si>
  <si>
    <t>Q3 1968</t>
  </si>
  <si>
    <t>Q4 1968</t>
  </si>
  <si>
    <t>Q1 1969</t>
  </si>
  <si>
    <t>Q2 1969</t>
  </si>
  <si>
    <t>Q3 1969</t>
  </si>
  <si>
    <t>Q4 1969</t>
  </si>
  <si>
    <t>Q1 1970</t>
  </si>
  <si>
    <t>Q2 1970</t>
  </si>
  <si>
    <t>Q3 1970</t>
  </si>
  <si>
    <t>Q4 1970</t>
  </si>
  <si>
    <t>Q1 1971</t>
  </si>
  <si>
    <t>Q2 1971</t>
  </si>
  <si>
    <t>Q3 1971</t>
  </si>
  <si>
    <t>Q4 1971</t>
  </si>
  <si>
    <t>Q1 1972</t>
  </si>
  <si>
    <t>Q2 1972</t>
  </si>
  <si>
    <t>Q3 1972</t>
  </si>
  <si>
    <t>Q4 1972</t>
  </si>
  <si>
    <t>Q1 1973</t>
  </si>
  <si>
    <t>Q2 1973</t>
  </si>
  <si>
    <t>Q3 1973</t>
  </si>
  <si>
    <t>Q4 1973</t>
  </si>
  <si>
    <t>Q1 1974</t>
  </si>
  <si>
    <t>Q2 1974</t>
  </si>
  <si>
    <t>Q3 1974</t>
  </si>
  <si>
    <t>Q4 1974</t>
  </si>
  <si>
    <t>Q1 1975</t>
  </si>
  <si>
    <t>Q2 1975</t>
  </si>
  <si>
    <t>Q3 1975</t>
  </si>
  <si>
    <t>Q4 1975</t>
  </si>
  <si>
    <t>Q1 1976</t>
  </si>
  <si>
    <t>Q2 1976</t>
  </si>
  <si>
    <t>Q3 1976</t>
  </si>
  <si>
    <t>Q4 1976</t>
  </si>
  <si>
    <t>Q1 1977</t>
  </si>
  <si>
    <t>Q2 1977</t>
  </si>
  <si>
    <t>Q3 1977</t>
  </si>
  <si>
    <t>Q4 1977</t>
  </si>
  <si>
    <t>Q1 1978</t>
  </si>
  <si>
    <t>Q2 1978</t>
  </si>
  <si>
    <t>Q3 1978</t>
  </si>
  <si>
    <t>Q4 1978</t>
  </si>
  <si>
    <t>Q1 1979</t>
  </si>
  <si>
    <t>Q2 1979</t>
  </si>
  <si>
    <t>Q3 1979</t>
  </si>
  <si>
    <t>Q4 1979</t>
  </si>
  <si>
    <t>Q1 1980</t>
  </si>
  <si>
    <t>Q2 1980</t>
  </si>
  <si>
    <t>Q3 1980</t>
  </si>
  <si>
    <t>Q4 1980</t>
  </si>
  <si>
    <t>Q1 1981</t>
  </si>
  <si>
    <t>Q2 1981</t>
  </si>
  <si>
    <t>Q3 1981</t>
  </si>
  <si>
    <t>Q4 1981</t>
  </si>
  <si>
    <t>Q1 1982</t>
  </si>
  <si>
    <t>Q2 1982</t>
  </si>
  <si>
    <t>Q3 1982</t>
  </si>
  <si>
    <t>Q4 1982</t>
  </si>
  <si>
    <t>Q1 1983</t>
  </si>
  <si>
    <t>Q2 1983</t>
  </si>
  <si>
    <t>Q3 1983</t>
  </si>
  <si>
    <t>Q4 1983</t>
  </si>
  <si>
    <t>Q1 1984</t>
  </si>
  <si>
    <t>Q2 1984</t>
  </si>
  <si>
    <t>Q3 1984</t>
  </si>
  <si>
    <t>Q4 1984</t>
  </si>
  <si>
    <t>Q1 1985</t>
  </si>
  <si>
    <t>Q2 1985</t>
  </si>
  <si>
    <t>Q3 1985</t>
  </si>
  <si>
    <t>Q4 1985</t>
  </si>
  <si>
    <t>Q1 1986</t>
  </si>
  <si>
    <t>Q2 1986</t>
  </si>
  <si>
    <t>Q3 1986</t>
  </si>
  <si>
    <t>Q4 1986</t>
  </si>
  <si>
    <t>Q1 1987</t>
  </si>
  <si>
    <t>Q2 1987</t>
  </si>
  <si>
    <t>Q3 1987</t>
  </si>
  <si>
    <t>Q4 1987</t>
  </si>
  <si>
    <t>Q1 1988</t>
  </si>
  <si>
    <t>Q2 1988</t>
  </si>
  <si>
    <t>Q3 1988</t>
  </si>
  <si>
    <t>Q4 1988</t>
  </si>
  <si>
    <t>Q1 1989</t>
  </si>
  <si>
    <t>Q2 1989</t>
  </si>
  <si>
    <t>Q3 1989</t>
  </si>
  <si>
    <t>Q4 1989</t>
  </si>
  <si>
    <t>Q1 1990</t>
  </si>
  <si>
    <t>Q2 1990</t>
  </si>
  <si>
    <t>Q3 1990</t>
  </si>
  <si>
    <t>Q4 1990</t>
  </si>
  <si>
    <t>Q1 1991</t>
  </si>
  <si>
    <t>Q2 1991</t>
  </si>
  <si>
    <t>Q3 1991</t>
  </si>
  <si>
    <t>Q4 1991</t>
  </si>
  <si>
    <t>Q1 1992</t>
  </si>
  <si>
    <t>Q2 1992</t>
  </si>
  <si>
    <t>Q3 1992</t>
  </si>
  <si>
    <t>Q4 1992</t>
  </si>
  <si>
    <t>Q1 1993</t>
  </si>
  <si>
    <t>Q2 1993</t>
  </si>
  <si>
    <t>Q3 1993</t>
  </si>
  <si>
    <t>Q4 1993</t>
  </si>
  <si>
    <t>Q1 1994</t>
  </si>
  <si>
    <t>Q2 1994</t>
  </si>
  <si>
    <t>Q3 1994</t>
  </si>
  <si>
    <t>Q4 1994</t>
  </si>
  <si>
    <t>Q1 1995</t>
  </si>
  <si>
    <t>Q2 1995</t>
  </si>
  <si>
    <t>Q3 1995</t>
  </si>
  <si>
    <t>Q4 1995</t>
  </si>
  <si>
    <t>Q1 1996</t>
  </si>
  <si>
    <t>Q2 1996</t>
  </si>
  <si>
    <t>Q3 1996</t>
  </si>
  <si>
    <t>Q4 1996</t>
  </si>
  <si>
    <t>Q1 1997</t>
  </si>
  <si>
    <t>Q2 1997</t>
  </si>
  <si>
    <t>Q3 1997</t>
  </si>
  <si>
    <t>Q4 1997</t>
  </si>
  <si>
    <t>Q1 1998</t>
  </si>
  <si>
    <t>Q2 1998</t>
  </si>
  <si>
    <t>Q3 1998</t>
  </si>
  <si>
    <t>Q4 1998</t>
  </si>
  <si>
    <t>Q1 1999</t>
  </si>
  <si>
    <t>Q2 1999</t>
  </si>
  <si>
    <t>Q3 1999</t>
  </si>
  <si>
    <t>Q4 1999</t>
  </si>
  <si>
    <t>Q1 2000</t>
  </si>
  <si>
    <t>Q2 2000</t>
  </si>
  <si>
    <t>Q3 2000</t>
  </si>
  <si>
    <t>Q4 2000</t>
  </si>
  <si>
    <t>Q1 2001</t>
  </si>
  <si>
    <t>Q2 2001</t>
  </si>
  <si>
    <t>Q3 2001</t>
  </si>
  <si>
    <t>Q4 2001</t>
  </si>
  <si>
    <t>Q1 2002</t>
  </si>
  <si>
    <t>Q2 2002</t>
  </si>
  <si>
    <t>Q3 2002</t>
  </si>
  <si>
    <t>Q4 2002</t>
  </si>
  <si>
    <t>Q1 2003</t>
  </si>
  <si>
    <t>Q2 2003</t>
  </si>
  <si>
    <t>Q3 2003</t>
  </si>
  <si>
    <t>Q4 2003</t>
  </si>
  <si>
    <t>Q1 2004</t>
  </si>
  <si>
    <t>Q2 2004</t>
  </si>
  <si>
    <t>Q3 2004</t>
  </si>
  <si>
    <t>Q4 2004</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</si>
  <si>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</si>
  <si>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</si>
  <si>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</si>
  <si>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</si>
  <si>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</si>
  <si>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</si>
  <si>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</si>
  <si>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</si>
  <si>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</si>
  <si>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</si>
  <si>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</si>
  <si>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</si>
  <si>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</si>
  <si>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</si>
  <si>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</si>
  <si>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</si>
  <si>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</si>
  <si>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</si>
  <si>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</si>
  <si>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</si>
  <si>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</si>
  <si>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</si>
  <si>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</si>
  <si>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</si>
  <si>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</si>
  <si>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</si>
  <si>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</si>
  <si>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</si>
  <si>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</si>
  <si>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</si>
  <si>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</si>
  <si>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</si>
  <si>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</si>
  <si>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</si>
  <si>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</si>
  <si>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</si>
  <si>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</si>
  <si>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</si>
  <si>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</si>
  <si>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</si>
  <si>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</si>
  <si>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</si>
  <si>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</si>
  <si>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</si>
  <si>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</si>
  <si>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</si>
  <si>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</si>
  <si>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</si>
  <si>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</si>
  <si>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</si>
  <si>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</si>
  <si>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</si>
  <si>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</si>
  <si>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</si>
  <si>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</si>
  <si>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</si>
  <si>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PIB par les dépenses</t>
  </si>
  <si>
    <t>Variations trimestrielles en %.</t>
  </si>
  <si>
    <t>vide</t>
  </si>
  <si>
    <t>Période</t>
  </si>
  <si>
    <t>Enchainés dollars de 2012</t>
  </si>
  <si>
    <t>Q2 2019</t>
  </si>
  <si>
    <t>Q3 2019</t>
  </si>
  <si>
    <t>Q4 2019</t>
  </si>
  <si>
    <t>Années</t>
  </si>
  <si>
    <t>Prix (en $)</t>
  </si>
  <si>
    <t>Ordinateurs</t>
  </si>
  <si>
    <t>Q1 2019</t>
  </si>
  <si>
    <t>Année</t>
  </si>
  <si>
    <t xml:space="preserve">ajusté pour les effets des saisons </t>
  </si>
  <si>
    <t>Estimations</t>
  </si>
  <si>
    <t>Q1 2020</t>
  </si>
  <si>
    <t>Q2 2020</t>
  </si>
  <si>
    <t>Q3 2020</t>
  </si>
  <si>
    <t>Q4 2020</t>
  </si>
  <si>
    <t>Q1 2021</t>
  </si>
  <si>
    <t>Q2 2021</t>
  </si>
  <si>
    <t>Q3 2021</t>
  </si>
  <si>
    <t>IPC</t>
  </si>
  <si>
    <t>Vide</t>
  </si>
  <si>
    <t>Quantités (en millions)</t>
  </si>
  <si>
    <t>Boissons énergétiques</t>
  </si>
  <si>
    <t>Quantité (en millions)</t>
  </si>
  <si>
    <t>Variation annuelle (voir la formule à la page 118 du manuel)</t>
  </si>
  <si>
    <t>T-shirts</t>
  </si>
  <si>
    <t xml:space="preserve">Prix (en $) </t>
  </si>
  <si>
    <t>Boissons énergétiques (cannettes)</t>
  </si>
  <si>
    <t xml:space="preserve">Quantité </t>
  </si>
  <si>
    <t xml:space="preserve">Pizza (morceaux) </t>
  </si>
  <si>
    <t>1,00</t>
  </si>
  <si>
    <t xml:space="preserve">a) </t>
  </si>
  <si>
    <t>a)</t>
  </si>
  <si>
    <t>b)</t>
  </si>
  <si>
    <t>c)</t>
  </si>
  <si>
    <t>d)</t>
  </si>
  <si>
    <t>e)</t>
  </si>
  <si>
    <t>g)</t>
  </si>
  <si>
    <t>f)</t>
  </si>
  <si>
    <t xml:space="preserve">Insérez votre réponse dans la cellule en jaune. </t>
  </si>
  <si>
    <t>Calculez le PIB nominal pour 2013 et 2014.</t>
  </si>
  <si>
    <t xml:space="preserve">Calculez le PIB réel pour 2013 et 2014 en utilisant 2013 comme année de base. </t>
  </si>
  <si>
    <t xml:space="preserve">À partir de votre réponse à la question précédente (b), calculez le pourcentage de croissance du PIB réel entre 2013 et 2014. </t>
  </si>
  <si>
    <t xml:space="preserve">Maintenant, calculez le PIB réel pour 2013 et 2014 en utilisant 2014 comme année de base. </t>
  </si>
  <si>
    <t xml:space="preserve">À partir de votre réponse à la question précédente (d), calculez le pourcentage de croissance du PIB réel entre 2013 et 2014. </t>
  </si>
  <si>
    <t xml:space="preserve">Quel est le déflateur du PIB en 2013 et 2014 si on prend 2013 comme année de base? </t>
  </si>
  <si>
    <t>À partir de votre réponse à la question précédente (f), calculez le pourcentage de variation des prix entre 2013 et 2014.</t>
  </si>
  <si>
    <t xml:space="preserve">Un petit pays, la Sylvanie, ne produit et ne consomme que trois biens : des T-shirts, des boissons énergétiques et des morceaux de pizza. Le tableau suivant donne la quantité produite et le prix de chacun de ces biens en 2013 et 2014 : </t>
  </si>
  <si>
    <t xml:space="preserve">Supposons que les ordinateurs portables, les manuels d’économique et les boissons énergétiques sont les trois seuls biens et services produits au Canada. Le tableau donne la quantité de chaque produit (en millions) et leur prix pour les années 2019, 2020 et 2021. </t>
  </si>
  <si>
    <t xml:space="preserve">b) </t>
  </si>
  <si>
    <t xml:space="preserve">Calculez le PIB nominal et le PIB réel (en prenant 2019 comme année de base) pour chaque année. </t>
  </si>
  <si>
    <t xml:space="preserve">Calculez le PIB réel pour 2020 et 2021 à l’aide de la méthode des dollars enchaînés. Nous n'avons pas couvert cette méthode de calculer le PIB réel en classe et elle n'apparait pas dans le manuel. C'est à vous, par vos recherches, de découvrir cette méthode et de l'appliquer à ces chiffres.  En passant, c'est la méthode qui est désormais utilisée par les agences statistiques de plsuieurs pays pour calculer leur PIB réel. </t>
  </si>
  <si>
    <t>(a)</t>
  </si>
  <si>
    <t>(b)</t>
  </si>
  <si>
    <t>Laissez en blanc</t>
  </si>
  <si>
    <t xml:space="preserve">Quantités (en millions) </t>
  </si>
  <si>
    <t>Manuels d'économique</t>
  </si>
  <si>
    <t>PIB nominal en millions</t>
  </si>
  <si>
    <t>PIB réel avec année de base 2019 en millions</t>
  </si>
  <si>
    <t>PIB réel avec la méthode des dollars echaînés. En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</si>
</sst>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 #,##0.00_)\ &quot;$&quot;_ ;_ * \(#,##0.00\)\ &quot;$&quot;_ ;_ * &quot;-&quot;??_)\ &quot;$&quot;_ ;_ @_ "/>
    <numFmt numFmtId="43" formatCode="_ * #,##0.00_)_ ;_ * \(#,##0.00\)_ ;_ * &quot;-&quot;??_)_ ;_ @_ "/>
    <numFmt numFmtId="164" formatCode="_(&quot;$&quot;* #,##0.00_);_(&quot;$&quot;* \(#,##0.00\);_(&quot;$&quot;* &quot;-&quot;??_);_(@_)"/>
    <numFmt numFmtId="165" formatCode="0.0%"/>
    <numFmt numFmtId="166" formatCode="_(&quot;$&quot;* #,##0_);_(&quot;$&quot;* \(#,##0\);_(&quot;$&quot;* &quot;-&quot;??_);_(@_)"/>
    <numFmt numFmtId="174" formatCode="_ * #,##0.00_)\ _$_ ;_ * \(#,##0.00\)\ _$_ ;_ * &quot;-&quot;??_)\ _$_ ;_ @_ "/>
    <numFmt numFmtId="177" formatCode="_ * #,##0.00_)_ ;_ * \(#,##0.00\)_ ;_ * &quot;-&quot;??_)_ ;_ @_ "/>
  </numFmts>
  <fonts count="33">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8"/>
      <name val="Calibri"/>
      <family val="2"/>
      <scheme val="minor"/>
    </font>
    <font>
      <sz val="18"/>
      <color theme="1"/>
      <name val="Sorts Mill Goudy Regular"/>
    </font>
    <font>
      <b/>
      <sz val="20"/>
      <color theme="0"/>
      <name val="Sorts Mill Goudy Regular"/>
    </font>
    <font>
      <sz val="24"/>
      <color theme="1"/>
      <name val="Sorts Mill Goudy Regular"/>
    </font>
    <font>
      <sz val="18"/>
      <color theme="0"/>
      <name val="Sorts Mill Goudy Regular"/>
    </font>
    <font>
      <b/>
      <sz val="24"/>
      <color rgb="FFFF0000"/>
      <name val="Sorts Mill Goudy Regular"/>
    </font>
    <font>
      <u/>
      <sz val="22"/>
      <color theme="0"/>
      <name val="Sorts Mill Goudy Regular"/>
    </font>
    <font>
      <sz val="11"/>
      <color theme="1"/>
      <name val="Calibri"/>
      <family val="2"/>
      <scheme val="minor"/>
    </font>
    <font>
      <b/>
      <sz val="11"/>
      <color theme="1"/>
      <name val="Calibri"/>
      <family val="2"/>
      <scheme val="minor"/>
    </font>
    <font>
      <sz val="11"/>
      <color theme="1"/>
      <name val="TimesNewRomanPSMT"/>
    </font>
    <font>
      <sz val="14"/>
      <color theme="1"/>
      <name val="Calibri"/>
      <family val="2"/>
      <scheme val="minor"/>
    </font>
    <font>
      <sz val="18"/>
      <color theme="1"/>
      <name val="TimesNewRomanPSMT"/>
    </font>
    <font>
      <sz val="20"/>
      <color theme="1"/>
      <name val="Sorts Mill Goudy Regular"/>
    </font>
    <font>
      <b/>
      <sz val="18"/>
      <color theme="1"/>
      <name val="Sorts Mill Goudy Regula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7030A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47">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77" fontId="1" fillId="0" borderId="0" applyFont="0" applyFill="0" applyBorder="0" applyAlignment="0" applyProtection="0"/>
  </cellStyleXfs>
  <cellXfs count="63">
    <xf numFmtId="0" fontId="0" fillId="0" borderId="0" xfId="0"/>
    <xf numFmtId="0" fontId="0" fillId="0" borderId="0" xfId="0" applyFill="1"/>
    <xf numFmtId="0" fontId="0" fillId="0" borderId="0" xfId="0" applyFill="1" applyAlignment="1">
      <alignment wrapText="1"/>
    </xf>
    <xf numFmtId="0" fontId="0" fillId="0" borderId="0" xfId="0" applyFill="1" applyAlignment="1">
      <alignment vertical="center"/>
    </xf>
    <xf numFmtId="0" fontId="0" fillId="0" borderId="0" xfId="0" applyFill="1" applyAlignment="1">
      <alignment horizontal="center" wrapText="1"/>
    </xf>
    <xf numFmtId="0" fontId="18" fillId="33" borderId="0" xfId="0" applyFont="1" applyFill="1" applyAlignment="1">
      <alignment horizontal="center" vertical="center"/>
    </xf>
    <xf numFmtId="165" fontId="0" fillId="0" borderId="0" xfId="1" applyNumberFormat="1" applyFont="1" applyFill="1" applyAlignment="1">
      <alignment vertical="center"/>
    </xf>
    <xf numFmtId="0" fontId="20" fillId="0" borderId="0" xfId="0" applyFont="1"/>
    <xf numFmtId="0" fontId="20" fillId="0" borderId="0" xfId="0" applyFont="1" applyAlignment="1">
      <alignment horizontal="center"/>
    </xf>
    <xf numFmtId="0" fontId="21" fillId="34" borderId="0" xfId="0" applyFont="1" applyFill="1" applyAlignment="1">
      <alignment horizontal="center" vertical="top"/>
    </xf>
    <xf numFmtId="0" fontId="21" fillId="34" borderId="0" xfId="0" applyFont="1" applyFill="1" applyAlignment="1">
      <alignment vertical="top"/>
    </xf>
    <xf numFmtId="0" fontId="21" fillId="34" borderId="0" xfId="0" applyFont="1" applyFill="1" applyAlignment="1">
      <alignment horizontal="center" vertical="top" wrapText="1"/>
    </xf>
    <xf numFmtId="0" fontId="20" fillId="0" borderId="0" xfId="0" applyFont="1" applyAlignment="1">
      <alignment vertical="center"/>
    </xf>
    <xf numFmtId="0" fontId="22" fillId="0" borderId="13" xfId="0" applyFont="1" applyBorder="1" applyAlignment="1">
      <alignment horizontal="center" vertical="center"/>
    </xf>
    <xf numFmtId="0" fontId="22" fillId="0" borderId="10" xfId="0" applyFont="1" applyBorder="1" applyAlignment="1">
      <alignment vertical="center"/>
    </xf>
    <xf numFmtId="2" fontId="22" fillId="0" borderId="13" xfId="0" applyNumberFormat="1" applyFont="1" applyBorder="1" applyAlignment="1">
      <alignment horizontal="center" vertical="center"/>
    </xf>
    <xf numFmtId="0" fontId="22" fillId="0" borderId="10" xfId="0" applyFont="1" applyBorder="1" applyAlignment="1">
      <alignment horizontal="center" vertical="center"/>
    </xf>
    <xf numFmtId="0" fontId="22" fillId="0" borderId="12" xfId="0" applyFont="1" applyBorder="1" applyAlignment="1">
      <alignment horizontal="center" vertical="center"/>
    </xf>
    <xf numFmtId="0" fontId="22" fillId="0" borderId="11" xfId="0" applyFont="1" applyBorder="1" applyAlignment="1">
      <alignment vertical="center"/>
    </xf>
    <xf numFmtId="2" fontId="22" fillId="0" borderId="12" xfId="0" applyNumberFormat="1" applyFont="1" applyBorder="1" applyAlignment="1">
      <alignment horizontal="center" vertical="center"/>
    </xf>
    <xf numFmtId="0" fontId="22" fillId="0" borderId="11" xfId="0" applyFont="1" applyBorder="1" applyAlignment="1">
      <alignment horizontal="center" vertical="center"/>
    </xf>
    <xf numFmtId="0" fontId="23" fillId="34" borderId="0" xfId="0" applyFont="1" applyFill="1" applyAlignment="1">
      <alignment horizontal="center"/>
    </xf>
    <xf numFmtId="0" fontId="23" fillId="34" borderId="0" xfId="0" applyFont="1" applyFill="1"/>
    <xf numFmtId="0" fontId="20" fillId="0" borderId="0" xfId="0" applyFont="1" applyAlignment="1">
      <alignment horizontal="center" vertical="top" wrapText="1"/>
    </xf>
    <xf numFmtId="165" fontId="24" fillId="0" borderId="0" xfId="1" applyNumberFormat="1" applyFont="1" applyAlignment="1">
      <alignment vertical="center"/>
    </xf>
    <xf numFmtId="3" fontId="0" fillId="0" borderId="0" xfId="0" applyNumberFormat="1"/>
    <xf numFmtId="166" fontId="24" fillId="0" borderId="15" xfId="43" applyNumberFormat="1" applyFont="1" applyBorder="1" applyAlignment="1">
      <alignment vertical="center"/>
    </xf>
    <xf numFmtId="0" fontId="22" fillId="0" borderId="15" xfId="0" applyFont="1" applyBorder="1" applyAlignment="1">
      <alignment horizontal="center" vertical="center"/>
    </xf>
    <xf numFmtId="0" fontId="20" fillId="0" borderId="0" xfId="0" applyFont="1" applyBorder="1"/>
    <xf numFmtId="0" fontId="22" fillId="0" borderId="0" xfId="0" applyFont="1" applyBorder="1" applyAlignment="1">
      <alignment horizontal="center" vertical="center"/>
    </xf>
    <xf numFmtId="0" fontId="0" fillId="0" borderId="0" xfId="0" applyAlignment="1">
      <alignment horizontal="center"/>
    </xf>
    <xf numFmtId="0" fontId="0" fillId="0" borderId="0" xfId="0" applyAlignment="1">
      <alignment horizontal="center" vertical="top"/>
    </xf>
    <xf numFmtId="0" fontId="0" fillId="0" borderId="0" xfId="0" applyAlignment="1">
      <alignment horizontal="center" vertical="top" wrapText="1"/>
    </xf>
    <xf numFmtId="1" fontId="22" fillId="0" borderId="15" xfId="0" applyNumberFormat="1" applyFont="1" applyBorder="1" applyAlignment="1">
      <alignment horizontal="center" vertical="center"/>
    </xf>
    <xf numFmtId="1" fontId="22" fillId="0" borderId="14" xfId="0" applyNumberFormat="1" applyFont="1" applyBorder="1" applyAlignment="1">
      <alignment horizontal="center" vertical="center"/>
    </xf>
    <xf numFmtId="0" fontId="26" fillId="0" borderId="0" xfId="0" applyFont="1"/>
    <xf numFmtId="0" fontId="0" fillId="0" borderId="0" xfId="0" applyAlignment="1">
      <alignment vertical="center"/>
    </xf>
    <xf numFmtId="0" fontId="26" fillId="0" borderId="15" xfId="0" applyFont="1" applyBorder="1" applyAlignment="1">
      <alignment vertical="center"/>
    </xf>
    <xf numFmtId="0" fontId="0" fillId="0" borderId="15" xfId="0" applyBorder="1" applyAlignment="1">
      <alignment vertical="center"/>
    </xf>
    <xf numFmtId="0" fontId="27" fillId="0" borderId="15" xfId="0" applyFont="1" applyBorder="1" applyAlignment="1">
      <alignment horizontal="center" vertical="center"/>
    </xf>
    <xf numFmtId="0" fontId="16" fillId="0" borderId="15" xfId="0" applyFont="1" applyBorder="1" applyAlignment="1">
      <alignment horizontal="center" vertical="center"/>
    </xf>
    <xf numFmtId="0" fontId="0" fillId="0" borderId="15" xfId="0" applyBorder="1" applyAlignment="1">
      <alignment horizontal="center" vertical="center"/>
    </xf>
    <xf numFmtId="2" fontId="0" fillId="0" borderId="15" xfId="0" applyNumberFormat="1" applyBorder="1" applyAlignment="1">
      <alignment horizontal="center" vertical="center"/>
    </xf>
    <xf numFmtId="0" fontId="26" fillId="33" borderId="15" xfId="0" applyFont="1" applyFill="1" applyBorder="1"/>
    <xf numFmtId="0" fontId="29" fillId="0" borderId="0" xfId="0" applyFont="1" applyAlignment="1">
      <alignment vertical="center"/>
    </xf>
    <xf numFmtId="0" fontId="31" fillId="0" borderId="0" xfId="0" applyFont="1" applyAlignment="1">
      <alignment horizontal="left" vertical="top"/>
    </xf>
    <xf numFmtId="0" fontId="32" fillId="0" borderId="0" xfId="0" applyFont="1" applyAlignment="1"/>
    <xf numFmtId="0" fontId="32" fillId="0" borderId="0" xfId="0" applyFont="1" applyAlignment="1">
      <alignment horizontal="center"/>
    </xf>
    <xf numFmtId="0" fontId="0" fillId="33" borderId="15" xfId="0" applyFill="1" applyBorder="1"/>
    <xf numFmtId="0" fontId="26" fillId="0" borderId="15" xfId="0" applyFont="1" applyFill="1" applyBorder="1" applyAlignment="1">
      <alignment horizontal="center" vertical="center"/>
    </xf>
    <xf numFmtId="0" fontId="16" fillId="0" borderId="15" xfId="0" applyFont="1" applyBorder="1" applyAlignment="1">
      <alignment horizontal="center" vertical="center"/>
    </xf>
    <xf numFmtId="0" fontId="0" fillId="0" borderId="15" xfId="0" applyBorder="1" applyAlignment="1">
      <alignment horizontal="center"/>
    </xf>
    <xf numFmtId="0" fontId="30" fillId="0" borderId="0" xfId="0" applyFont="1" applyAlignment="1">
      <alignment horizontal="left" vertical="top" wrapText="1"/>
    </xf>
    <xf numFmtId="0" fontId="28" fillId="0" borderId="0" xfId="0" applyFont="1" applyAlignment="1">
      <alignment horizontal="left" vertical="top" wrapText="1"/>
    </xf>
    <xf numFmtId="0" fontId="20" fillId="0" borderId="0" xfId="0" applyFont="1" applyAlignment="1">
      <alignment horizontal="center" vertical="top" wrapText="1"/>
    </xf>
    <xf numFmtId="0" fontId="31" fillId="0" borderId="0" xfId="0" applyFont="1" applyAlignment="1">
      <alignment horizontal="left" vertical="top" wrapText="1"/>
    </xf>
    <xf numFmtId="0" fontId="25" fillId="34" borderId="0" xfId="0" applyFont="1" applyFill="1" applyAlignment="1">
      <alignment horizontal="center" vertical="top"/>
    </xf>
    <xf numFmtId="0" fontId="20" fillId="0" borderId="0" xfId="0" applyFont="1" applyAlignment="1">
      <alignment horizontal="center" vertical="top"/>
    </xf>
    <xf numFmtId="43" fontId="26" fillId="33" borderId="15" xfId="44" applyFont="1" applyFill="1" applyBorder="1"/>
    <xf numFmtId="0" fontId="26" fillId="33" borderId="15" xfId="1" applyNumberFormat="1" applyFont="1" applyFill="1" applyBorder="1"/>
    <xf numFmtId="174" fontId="26" fillId="33" borderId="15" xfId="0" applyNumberFormat="1" applyFont="1" applyFill="1" applyBorder="1"/>
    <xf numFmtId="0" fontId="0" fillId="0" borderId="0" xfId="0" applyAlignment="1">
      <alignment horizontal="center"/>
    </xf>
    <xf numFmtId="0" fontId="0" fillId="0" borderId="0" xfId="0" applyAlignment="1">
      <alignment horizontal="center"/>
    </xf>
  </cellXfs>
  <cellStyles count="47">
    <cellStyle name="20 % - Accent1" xfId="20" builtinId="30" customBuiltin="1"/>
    <cellStyle name="20 % - Accent2" xfId="24" builtinId="34" customBuiltin="1"/>
    <cellStyle name="20 % - Accent3" xfId="28" builtinId="38" customBuiltin="1"/>
    <cellStyle name="20 % - Accent4" xfId="32" builtinId="42" customBuiltin="1"/>
    <cellStyle name="20 % - Accent5" xfId="36" builtinId="46" customBuiltin="1"/>
    <cellStyle name="20 % - Accent6" xfId="40" builtinId="50" customBuiltin="1"/>
    <cellStyle name="40 % - Accent1" xfId="21" builtinId="31" customBuiltin="1"/>
    <cellStyle name="40 % - Accent2" xfId="25" builtinId="35" customBuiltin="1"/>
    <cellStyle name="40 % - Accent3" xfId="29" builtinId="39" customBuiltin="1"/>
    <cellStyle name="40 % - Accent4" xfId="33" builtinId="43" customBuiltin="1"/>
    <cellStyle name="40 % - Accent5" xfId="37" builtinId="47" customBuiltin="1"/>
    <cellStyle name="40 % - Accent6" xfId="41" builtinId="51" customBuiltin="1"/>
    <cellStyle name="60 % - Accent1" xfId="22" builtinId="32" customBuiltin="1"/>
    <cellStyle name="60 % - Accent2" xfId="26" builtinId="36" customBuiltin="1"/>
    <cellStyle name="60 % - Accent3" xfId="30" builtinId="40" customBuiltin="1"/>
    <cellStyle name="60 % - Accent4" xfId="34" builtinId="44" customBuiltin="1"/>
    <cellStyle name="60 % - Accent5" xfId="38" builtinId="48" customBuiltin="1"/>
    <cellStyle name="60 %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Avertissement" xfId="15" builtinId="11" customBuiltin="1"/>
    <cellStyle name="Calcul" xfId="12" builtinId="22" customBuiltin="1"/>
    <cellStyle name="Cellule liée" xfId="13" builtinId="24" customBuiltin="1"/>
    <cellStyle name="Entrée" xfId="10" builtinId="20" customBuiltin="1"/>
    <cellStyle name="Insatisfaisant" xfId="8" builtinId="27" customBuiltin="1"/>
    <cellStyle name="Milliers" xfId="44" builtinId="3"/>
    <cellStyle name="Milliers 2" xfId="46" xr:uid="{B7EE713C-F498-4841-B0C3-6E65F235F9CD}"/>
    <cellStyle name="Monétaire" xfId="43" builtinId="4"/>
    <cellStyle name="Monétaire 2" xfId="45" xr:uid="{4DD33552-FAB6-4158-BF21-AC992295B56E}"/>
    <cellStyle name="Neutre" xfId="9" builtinId="28" customBuiltin="1"/>
    <cellStyle name="Normal" xfId="0" builtinId="0"/>
    <cellStyle name="Note" xfId="16" builtinId="10" customBuiltin="1"/>
    <cellStyle name="Pourcentage" xfId="1" builtinId="5"/>
    <cellStyle name="Satisfaisant" xfId="7" builtinId="26" customBuiltin="1"/>
    <cellStyle name="Sortie" xfId="11" builtinId="21" customBuiltin="1"/>
    <cellStyle name="Texte explicatif" xfId="17" builtinId="53" customBuiltin="1"/>
    <cellStyle name="Titre" xfId="2" builtinId="15" customBuiltin="1"/>
    <cellStyle name="Titre 1" xfId="3" builtinId="16" customBuiltin="1"/>
    <cellStyle name="Titre 2" xfId="4" builtinId="17" customBuiltin="1"/>
    <cellStyle name="Titre 3" xfId="5" builtinId="18" customBuiltin="1"/>
    <cellStyle name="Titre 4" xfId="6" builtinId="19" customBuiltin="1"/>
    <cellStyle name="Total" xfId="18" builtinId="25" customBuiltin="1"/>
    <cellStyle name="Vérification" xfId="14"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Graphe</a:t>
            </a:r>
            <a:r>
              <a:rPr lang="fr-CA" baseline="0"/>
              <a:t> montrant les taux de variations trimestrielles </a:t>
            </a:r>
            <a:endParaRPr lang="fr-CA"/>
          </a:p>
        </c:rich>
      </c:tx>
      <c:layout>
        <c:manualLayout>
          <c:xMode val="edge"/>
          <c:yMode val="edge"/>
          <c:x val="0.273729002624671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5.0970667735892101E-2"/>
          <c:y val="7.4180553012268821E-2"/>
          <c:w val="0.94570745162561443"/>
          <c:h val="0.86050226279854558"/>
        </c:manualLayout>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'PIB trimestriel'!$B$10:$B$252</c:f>
              <c:strCache>
                <c:ptCount val="243"/>
                <c:pt idx="0">
                  <c:v>Q1 1961</c:v>
                </c:pt>
                <c:pt idx="1">
                  <c:v>Q2 1961</c:v>
                </c:pt>
                <c:pt idx="2">
                  <c:v>Q3 1961</c:v>
                </c:pt>
                <c:pt idx="3">
                  <c:v>Q4 1961</c:v>
                </c:pt>
                <c:pt idx="4">
                  <c:v>Q1 1962</c:v>
                </c:pt>
                <c:pt idx="5">
                  <c:v>Q2 1962</c:v>
                </c:pt>
                <c:pt idx="6">
                  <c:v>Q3 1962</c:v>
                </c:pt>
                <c:pt idx="7">
                  <c:v>Q4 1962</c:v>
                </c:pt>
                <c:pt idx="8">
                  <c:v>Q1 1963</c:v>
                </c:pt>
                <c:pt idx="9">
                  <c:v>Q2 1963</c:v>
                </c:pt>
                <c:pt idx="10">
                  <c:v>Q3 1963</c:v>
                </c:pt>
                <c:pt idx="11">
                  <c:v>Q4 1963</c:v>
                </c:pt>
                <c:pt idx="12">
                  <c:v>Q1 1964</c:v>
                </c:pt>
                <c:pt idx="13">
                  <c:v>Q2 1964</c:v>
                </c:pt>
                <c:pt idx="14">
                  <c:v>Q3 1964</c:v>
                </c:pt>
                <c:pt idx="15">
                  <c:v>Q4 1964</c:v>
                </c:pt>
                <c:pt idx="16">
                  <c:v>Q1 1965</c:v>
                </c:pt>
                <c:pt idx="17">
                  <c:v>Q2 1965</c:v>
                </c:pt>
                <c:pt idx="18">
                  <c:v>Q3 1965</c:v>
                </c:pt>
                <c:pt idx="19">
                  <c:v>Q4 1965</c:v>
                </c:pt>
                <c:pt idx="20">
                  <c:v>Q1 1966</c:v>
                </c:pt>
                <c:pt idx="21">
                  <c:v>Q2 1966</c:v>
                </c:pt>
                <c:pt idx="22">
                  <c:v>Q3 1966</c:v>
                </c:pt>
                <c:pt idx="23">
                  <c:v>Q4 1966</c:v>
                </c:pt>
                <c:pt idx="24">
                  <c:v>Q1 1967</c:v>
                </c:pt>
                <c:pt idx="25">
                  <c:v>Q2 1967</c:v>
                </c:pt>
                <c:pt idx="26">
                  <c:v>Q3 1967</c:v>
                </c:pt>
                <c:pt idx="27">
                  <c:v>Q4 1967</c:v>
                </c:pt>
                <c:pt idx="28">
                  <c:v>Q1 1968</c:v>
                </c:pt>
                <c:pt idx="29">
                  <c:v>Q2 1968</c:v>
                </c:pt>
                <c:pt idx="30">
                  <c:v>Q3 1968</c:v>
                </c:pt>
                <c:pt idx="31">
                  <c:v>Q4 1968</c:v>
                </c:pt>
                <c:pt idx="32">
                  <c:v>Q1 1969</c:v>
                </c:pt>
                <c:pt idx="33">
                  <c:v>Q2 1969</c:v>
                </c:pt>
                <c:pt idx="34">
                  <c:v>Q3 1969</c:v>
                </c:pt>
                <c:pt idx="35">
                  <c:v>Q4 1969</c:v>
                </c:pt>
                <c:pt idx="36">
                  <c:v>Q1 1970</c:v>
                </c:pt>
                <c:pt idx="37">
                  <c:v>Q2 1970</c:v>
                </c:pt>
                <c:pt idx="38">
                  <c:v>Q3 1970</c:v>
                </c:pt>
                <c:pt idx="39">
                  <c:v>Q4 1970</c:v>
                </c:pt>
                <c:pt idx="40">
                  <c:v>Q1 1971</c:v>
                </c:pt>
                <c:pt idx="41">
                  <c:v>Q2 1971</c:v>
                </c:pt>
                <c:pt idx="42">
                  <c:v>Q3 1971</c:v>
                </c:pt>
                <c:pt idx="43">
                  <c:v>Q4 1971</c:v>
                </c:pt>
                <c:pt idx="44">
                  <c:v>Q1 1972</c:v>
                </c:pt>
                <c:pt idx="45">
                  <c:v>Q2 1972</c:v>
                </c:pt>
                <c:pt idx="46">
                  <c:v>Q3 1972</c:v>
                </c:pt>
                <c:pt idx="47">
                  <c:v>Q4 1972</c:v>
                </c:pt>
                <c:pt idx="48">
                  <c:v>Q1 1973</c:v>
                </c:pt>
                <c:pt idx="49">
                  <c:v>Q2 1973</c:v>
                </c:pt>
                <c:pt idx="50">
                  <c:v>Q3 1973</c:v>
                </c:pt>
                <c:pt idx="51">
                  <c:v>Q4 1973</c:v>
                </c:pt>
                <c:pt idx="52">
                  <c:v>Q1 1974</c:v>
                </c:pt>
                <c:pt idx="53">
                  <c:v>Q2 1974</c:v>
                </c:pt>
                <c:pt idx="54">
                  <c:v>Q3 1974</c:v>
                </c:pt>
                <c:pt idx="55">
                  <c:v>Q4 1974</c:v>
                </c:pt>
                <c:pt idx="56">
                  <c:v>Q1 1975</c:v>
                </c:pt>
                <c:pt idx="57">
                  <c:v>Q2 1975</c:v>
                </c:pt>
                <c:pt idx="58">
                  <c:v>Q3 1975</c:v>
                </c:pt>
                <c:pt idx="59">
                  <c:v>Q4 1975</c:v>
                </c:pt>
                <c:pt idx="60">
                  <c:v>Q1 1976</c:v>
                </c:pt>
                <c:pt idx="61">
                  <c:v>Q2 1976</c:v>
                </c:pt>
                <c:pt idx="62">
                  <c:v>Q3 1976</c:v>
                </c:pt>
                <c:pt idx="63">
                  <c:v>Q4 1976</c:v>
                </c:pt>
                <c:pt idx="64">
                  <c:v>Q1 1977</c:v>
                </c:pt>
                <c:pt idx="65">
                  <c:v>Q2 1977</c:v>
                </c:pt>
                <c:pt idx="66">
                  <c:v>Q3 1977</c:v>
                </c:pt>
                <c:pt idx="67">
                  <c:v>Q4 1977</c:v>
                </c:pt>
                <c:pt idx="68">
                  <c:v>Q1 1978</c:v>
                </c:pt>
                <c:pt idx="69">
                  <c:v>Q2 1978</c:v>
                </c:pt>
                <c:pt idx="70">
                  <c:v>Q3 1978</c:v>
                </c:pt>
                <c:pt idx="71">
                  <c:v>Q4 1978</c:v>
                </c:pt>
                <c:pt idx="72">
                  <c:v>Q1 1979</c:v>
                </c:pt>
                <c:pt idx="73">
                  <c:v>Q2 1979</c:v>
                </c:pt>
                <c:pt idx="74">
                  <c:v>Q3 1979</c:v>
                </c:pt>
                <c:pt idx="75">
                  <c:v>Q4 1979</c:v>
                </c:pt>
                <c:pt idx="76">
                  <c:v>Q1 1980</c:v>
                </c:pt>
                <c:pt idx="77">
                  <c:v>Q2 1980</c:v>
                </c:pt>
                <c:pt idx="78">
                  <c:v>Q3 1980</c:v>
                </c:pt>
                <c:pt idx="79">
                  <c:v>Q4 1980</c:v>
                </c:pt>
                <c:pt idx="80">
                  <c:v>Q1 1981</c:v>
                </c:pt>
                <c:pt idx="81">
                  <c:v>Q2 1981</c:v>
                </c:pt>
                <c:pt idx="82">
                  <c:v>Q3 1981</c:v>
                </c:pt>
                <c:pt idx="83">
                  <c:v>Q4 1981</c:v>
                </c:pt>
                <c:pt idx="84">
                  <c:v>Q1 1982</c:v>
                </c:pt>
                <c:pt idx="85">
                  <c:v>Q2 1982</c:v>
                </c:pt>
                <c:pt idx="86">
                  <c:v>Q3 1982</c:v>
                </c:pt>
                <c:pt idx="87">
                  <c:v>Q4 1982</c:v>
                </c:pt>
                <c:pt idx="88">
                  <c:v>Q1 1983</c:v>
                </c:pt>
                <c:pt idx="89">
                  <c:v>Q2 1983</c:v>
                </c:pt>
                <c:pt idx="90">
                  <c:v>Q3 1983</c:v>
                </c:pt>
                <c:pt idx="91">
                  <c:v>Q4 1983</c:v>
                </c:pt>
                <c:pt idx="92">
                  <c:v>Q1 1984</c:v>
                </c:pt>
                <c:pt idx="93">
                  <c:v>Q2 1984</c:v>
                </c:pt>
                <c:pt idx="94">
                  <c:v>Q3 1984</c:v>
                </c:pt>
                <c:pt idx="95">
                  <c:v>Q4 1984</c:v>
                </c:pt>
                <c:pt idx="96">
                  <c:v>Q1 1985</c:v>
                </c:pt>
                <c:pt idx="97">
                  <c:v>Q2 1985</c:v>
                </c:pt>
                <c:pt idx="98">
                  <c:v>Q3 1985</c:v>
                </c:pt>
                <c:pt idx="99">
                  <c:v>Q4 1985</c:v>
                </c:pt>
                <c:pt idx="100">
                  <c:v>Q1 1986</c:v>
                </c:pt>
                <c:pt idx="101">
                  <c:v>Q2 1986</c:v>
                </c:pt>
                <c:pt idx="102">
                  <c:v>Q3 1986</c:v>
                </c:pt>
                <c:pt idx="103">
                  <c:v>Q4 1986</c:v>
                </c:pt>
                <c:pt idx="104">
                  <c:v>Q1 1987</c:v>
                </c:pt>
                <c:pt idx="105">
                  <c:v>Q2 1987</c:v>
                </c:pt>
                <c:pt idx="106">
                  <c:v>Q3 1987</c:v>
                </c:pt>
                <c:pt idx="107">
                  <c:v>Q4 1987</c:v>
                </c:pt>
                <c:pt idx="108">
                  <c:v>Q1 1988</c:v>
                </c:pt>
                <c:pt idx="109">
                  <c:v>Q2 1988</c:v>
                </c:pt>
                <c:pt idx="110">
                  <c:v>Q3 1988</c:v>
                </c:pt>
                <c:pt idx="111">
                  <c:v>Q4 1988</c:v>
                </c:pt>
                <c:pt idx="112">
                  <c:v>Q1 1989</c:v>
                </c:pt>
                <c:pt idx="113">
                  <c:v>Q2 1989</c:v>
                </c:pt>
                <c:pt idx="114">
                  <c:v>Q3 1989</c:v>
                </c:pt>
                <c:pt idx="115">
                  <c:v>Q4 1989</c:v>
                </c:pt>
                <c:pt idx="116">
                  <c:v>Q1 1990</c:v>
                </c:pt>
                <c:pt idx="117">
                  <c:v>Q2 1990</c:v>
                </c:pt>
                <c:pt idx="118">
                  <c:v>Q3 1990</c:v>
                </c:pt>
                <c:pt idx="119">
                  <c:v>Q4 1990</c:v>
                </c:pt>
                <c:pt idx="120">
                  <c:v>Q1 1991</c:v>
                </c:pt>
                <c:pt idx="121">
                  <c:v>Q2 1991</c:v>
                </c:pt>
                <c:pt idx="122">
                  <c:v>Q3 1991</c:v>
                </c:pt>
                <c:pt idx="123">
                  <c:v>Q4 1991</c:v>
                </c:pt>
                <c:pt idx="124">
                  <c:v>Q1 1992</c:v>
                </c:pt>
                <c:pt idx="125">
                  <c:v>Q2 1992</c:v>
                </c:pt>
                <c:pt idx="126">
                  <c:v>Q3 1992</c:v>
                </c:pt>
                <c:pt idx="127">
                  <c:v>Q4 1992</c:v>
                </c:pt>
                <c:pt idx="128">
                  <c:v>Q1 1993</c:v>
                </c:pt>
                <c:pt idx="129">
                  <c:v>Q2 1993</c:v>
                </c:pt>
                <c:pt idx="130">
                  <c:v>Q3 1993</c:v>
                </c:pt>
                <c:pt idx="131">
                  <c:v>Q4 1993</c:v>
                </c:pt>
                <c:pt idx="132">
                  <c:v>Q1 1994</c:v>
                </c:pt>
                <c:pt idx="133">
                  <c:v>Q2 1994</c:v>
                </c:pt>
                <c:pt idx="134">
                  <c:v>Q3 1994</c:v>
                </c:pt>
                <c:pt idx="135">
                  <c:v>Q4 1994</c:v>
                </c:pt>
                <c:pt idx="136">
                  <c:v>Q1 1995</c:v>
                </c:pt>
                <c:pt idx="137">
                  <c:v>Q2 1995</c:v>
                </c:pt>
                <c:pt idx="138">
                  <c:v>Q3 1995</c:v>
                </c:pt>
                <c:pt idx="139">
                  <c:v>Q4 1995</c:v>
                </c:pt>
                <c:pt idx="140">
                  <c:v>Q1 1996</c:v>
                </c:pt>
                <c:pt idx="141">
                  <c:v>Q2 1996</c:v>
                </c:pt>
                <c:pt idx="142">
                  <c:v>Q3 1996</c:v>
                </c:pt>
                <c:pt idx="143">
                  <c:v>Q4 1996</c:v>
                </c:pt>
                <c:pt idx="144">
                  <c:v>Q1 1997</c:v>
                </c:pt>
                <c:pt idx="145">
                  <c:v>Q2 1997</c:v>
                </c:pt>
                <c:pt idx="146">
                  <c:v>Q3 1997</c:v>
                </c:pt>
                <c:pt idx="147">
                  <c:v>Q4 1997</c:v>
                </c:pt>
                <c:pt idx="148">
                  <c:v>Q1 1998</c:v>
                </c:pt>
                <c:pt idx="149">
                  <c:v>Q2 1998</c:v>
                </c:pt>
                <c:pt idx="150">
                  <c:v>Q3 1998</c:v>
                </c:pt>
                <c:pt idx="151">
                  <c:v>Q4 1998</c:v>
                </c:pt>
                <c:pt idx="152">
                  <c:v>Q1 1999</c:v>
                </c:pt>
                <c:pt idx="153">
                  <c:v>Q2 1999</c:v>
                </c:pt>
                <c:pt idx="154">
                  <c:v>Q3 1999</c:v>
                </c:pt>
                <c:pt idx="155">
                  <c:v>Q4 1999</c:v>
                </c:pt>
                <c:pt idx="156">
                  <c:v>Q1 2000</c:v>
                </c:pt>
                <c:pt idx="157">
                  <c:v>Q2 2000</c:v>
                </c:pt>
                <c:pt idx="158">
                  <c:v>Q3 2000</c:v>
                </c:pt>
                <c:pt idx="159">
                  <c:v>Q4 2000</c:v>
                </c:pt>
                <c:pt idx="160">
                  <c:v>Q1 2001</c:v>
                </c:pt>
                <c:pt idx="161">
                  <c:v>Q2 2001</c:v>
                </c:pt>
                <c:pt idx="162">
                  <c:v>Q3 2001</c:v>
                </c:pt>
                <c:pt idx="163">
                  <c:v>Q4 2001</c:v>
                </c:pt>
                <c:pt idx="164">
                  <c:v>Q1 2002</c:v>
                </c:pt>
                <c:pt idx="165">
                  <c:v>Q2 2002</c:v>
                </c:pt>
                <c:pt idx="166">
                  <c:v>Q3 2002</c:v>
                </c:pt>
                <c:pt idx="167">
                  <c:v>Q4 2002</c:v>
                </c:pt>
                <c:pt idx="168">
                  <c:v>Q1 2003</c:v>
                </c:pt>
                <c:pt idx="169">
                  <c:v>Q2 2003</c:v>
                </c:pt>
                <c:pt idx="170">
                  <c:v>Q3 2003</c:v>
                </c:pt>
                <c:pt idx="171">
                  <c:v>Q4 2003</c:v>
                </c:pt>
                <c:pt idx="172">
                  <c:v>Q1 2004</c:v>
                </c:pt>
                <c:pt idx="173">
                  <c:v>Q2 2004</c:v>
                </c:pt>
                <c:pt idx="174">
                  <c:v>Q3 2004</c:v>
                </c:pt>
                <c:pt idx="175">
                  <c:v>Q4 2004</c:v>
                </c:pt>
                <c:pt idx="176">
                  <c:v>Q1 2005</c:v>
                </c:pt>
                <c:pt idx="177">
                  <c:v>Q2 2005</c:v>
                </c:pt>
                <c:pt idx="178">
                  <c:v>Q3 2005</c:v>
                </c:pt>
                <c:pt idx="179">
                  <c:v>Q4 2005</c:v>
                </c:pt>
                <c:pt idx="180">
                  <c:v>Q1 2006</c:v>
                </c:pt>
                <c:pt idx="181">
                  <c:v>Q2 2006</c:v>
                </c:pt>
                <c:pt idx="182">
                  <c:v>Q3 2006</c:v>
                </c:pt>
                <c:pt idx="183">
                  <c:v>Q4 2006</c:v>
                </c:pt>
                <c:pt idx="184">
                  <c:v>Q1 2007</c:v>
                </c:pt>
                <c:pt idx="185">
                  <c:v>Q2 2007</c:v>
                </c:pt>
                <c:pt idx="186">
                  <c:v>Q3 2007</c:v>
                </c:pt>
                <c:pt idx="187">
                  <c:v>Q4 2007</c:v>
                </c:pt>
                <c:pt idx="188">
                  <c:v>Q1 2008</c:v>
                </c:pt>
                <c:pt idx="189">
                  <c:v>Q2 2008</c:v>
                </c:pt>
                <c:pt idx="190">
                  <c:v>Q3 2008</c:v>
                </c:pt>
                <c:pt idx="191">
                  <c:v>Q4 2008</c:v>
                </c:pt>
                <c:pt idx="192">
                  <c:v>Q1 2009</c:v>
                </c:pt>
                <c:pt idx="193">
                  <c:v>Q2 2009</c:v>
                </c:pt>
                <c:pt idx="194">
                  <c:v>Q3 2009</c:v>
                </c:pt>
                <c:pt idx="195">
                  <c:v>Q4 2009</c:v>
                </c:pt>
                <c:pt idx="196">
                  <c:v>Q1 2010</c:v>
                </c:pt>
                <c:pt idx="197">
                  <c:v>Q2 2010</c:v>
                </c:pt>
                <c:pt idx="198">
                  <c:v>Q3 2010</c:v>
                </c:pt>
                <c:pt idx="199">
                  <c:v>Q4 2010</c:v>
                </c:pt>
                <c:pt idx="200">
                  <c:v>Q1 2011</c:v>
                </c:pt>
                <c:pt idx="201">
                  <c:v>Q2 2011</c:v>
                </c:pt>
                <c:pt idx="202">
                  <c:v>Q3 2011</c:v>
                </c:pt>
                <c:pt idx="203">
                  <c:v>Q4 2011</c:v>
                </c:pt>
                <c:pt idx="204">
                  <c:v>Q1 2012</c:v>
                </c:pt>
                <c:pt idx="205">
                  <c:v>Q2 2012</c:v>
                </c:pt>
                <c:pt idx="206">
                  <c:v>Q3 2012</c:v>
                </c:pt>
                <c:pt idx="207">
                  <c:v>Q4 2012</c:v>
                </c:pt>
                <c:pt idx="208">
                  <c:v>Q1 2013</c:v>
                </c:pt>
                <c:pt idx="209">
                  <c:v>Q2 2013</c:v>
                </c:pt>
                <c:pt idx="210">
                  <c:v>Q3 2013</c:v>
                </c:pt>
                <c:pt idx="211">
                  <c:v>Q4 2013</c:v>
                </c:pt>
                <c:pt idx="212">
                  <c:v>Q1 2014</c:v>
                </c:pt>
                <c:pt idx="213">
                  <c:v>Q2 2014</c:v>
                </c:pt>
                <c:pt idx="214">
                  <c:v>Q3 2014</c:v>
                </c:pt>
                <c:pt idx="215">
                  <c:v>Q4 2014</c:v>
                </c:pt>
                <c:pt idx="216">
                  <c:v>Q1 2015</c:v>
                </c:pt>
                <c:pt idx="217">
                  <c:v>Q2 2015</c:v>
                </c:pt>
                <c:pt idx="218">
                  <c:v>Q3 2015</c:v>
                </c:pt>
                <c:pt idx="219">
                  <c:v>Q4 2015</c:v>
                </c:pt>
                <c:pt idx="220">
                  <c:v>Q1 2016</c:v>
                </c:pt>
                <c:pt idx="221">
                  <c:v>Q2 2016</c:v>
                </c:pt>
                <c:pt idx="222">
                  <c:v>Q3 2016</c:v>
                </c:pt>
                <c:pt idx="223">
                  <c:v>Q4 2016</c:v>
                </c:pt>
                <c:pt idx="224">
                  <c:v>Q1 2017</c:v>
                </c:pt>
                <c:pt idx="225">
                  <c:v>Q2 2017</c:v>
                </c:pt>
                <c:pt idx="226">
                  <c:v>Q3 2017</c:v>
                </c:pt>
                <c:pt idx="227">
                  <c:v>Q4 2017</c:v>
                </c:pt>
                <c:pt idx="228">
                  <c:v>Q1 2018</c:v>
                </c:pt>
                <c:pt idx="229">
                  <c:v>Q2 2018</c:v>
                </c:pt>
                <c:pt idx="230">
                  <c:v>Q3 2018</c:v>
                </c:pt>
                <c:pt idx="231">
                  <c:v>Q4 2018</c:v>
                </c:pt>
                <c:pt idx="232">
                  <c:v>Q1 2019</c:v>
                </c:pt>
                <c:pt idx="233">
                  <c:v>Q2 2019</c:v>
                </c:pt>
                <c:pt idx="234">
                  <c:v>Q3 2019</c:v>
                </c:pt>
                <c:pt idx="235">
                  <c:v>Q4 2019</c:v>
                </c:pt>
                <c:pt idx="236">
                  <c:v>Q1 2020</c:v>
                </c:pt>
                <c:pt idx="237">
                  <c:v>Q2 2020</c:v>
                </c:pt>
                <c:pt idx="238">
                  <c:v>Q3 2020</c:v>
                </c:pt>
                <c:pt idx="239">
                  <c:v>Q4 2020</c:v>
                </c:pt>
                <c:pt idx="240">
                  <c:v>Q1 2021</c:v>
                </c:pt>
                <c:pt idx="241">
                  <c:v>Q2 2021</c:v>
                </c:pt>
                <c:pt idx="242">
                  <c:v>Q3 2021</c:v>
                </c:pt>
              </c:strCache>
            </c:strRef>
          </c:cat>
          <c:val>
            <c:numRef>
              <c:f>'PIB trimestriel'!$C$10:$C$252</c:f>
              <c:numCache>
                <c:formatCode>#,##0</c:formatCode>
                <c:ptCount val="243"/>
                <c:pt idx="0">
                  <c:v>342687</c:v>
                </c:pt>
                <c:pt idx="1">
                  <c:v>351364</c:v>
                </c:pt>
                <c:pt idx="2">
                  <c:v>359914</c:v>
                </c:pt>
                <c:pt idx="3">
                  <c:v>364811</c:v>
                </c:pt>
                <c:pt idx="4">
                  <c:v>374518</c:v>
                </c:pt>
                <c:pt idx="5">
                  <c:v>377495</c:v>
                </c:pt>
                <c:pt idx="6">
                  <c:v>382323</c:v>
                </c:pt>
                <c:pt idx="7">
                  <c:v>389825</c:v>
                </c:pt>
                <c:pt idx="8">
                  <c:v>392297</c:v>
                </c:pt>
                <c:pt idx="9">
                  <c:v>398002</c:v>
                </c:pt>
                <c:pt idx="10">
                  <c:v>401027</c:v>
                </c:pt>
                <c:pt idx="11">
                  <c:v>413577</c:v>
                </c:pt>
                <c:pt idx="12">
                  <c:v>423930</c:v>
                </c:pt>
                <c:pt idx="13">
                  <c:v>425518</c:v>
                </c:pt>
                <c:pt idx="14">
                  <c:v>430060</c:v>
                </c:pt>
                <c:pt idx="15">
                  <c:v>432217</c:v>
                </c:pt>
                <c:pt idx="16">
                  <c:v>445966</c:v>
                </c:pt>
                <c:pt idx="17">
                  <c:v>450049</c:v>
                </c:pt>
                <c:pt idx="18">
                  <c:v>456330</c:v>
                </c:pt>
                <c:pt idx="19">
                  <c:v>467514</c:v>
                </c:pt>
                <c:pt idx="20">
                  <c:v>476611</c:v>
                </c:pt>
                <c:pt idx="21">
                  <c:v>486899</c:v>
                </c:pt>
                <c:pt idx="22">
                  <c:v>486666</c:v>
                </c:pt>
                <c:pt idx="23">
                  <c:v>492697</c:v>
                </c:pt>
                <c:pt idx="24">
                  <c:v>491587</c:v>
                </c:pt>
                <c:pt idx="25">
                  <c:v>501828</c:v>
                </c:pt>
                <c:pt idx="26">
                  <c:v>503410</c:v>
                </c:pt>
                <c:pt idx="27">
                  <c:v>505603</c:v>
                </c:pt>
                <c:pt idx="28">
                  <c:v>509913</c:v>
                </c:pt>
                <c:pt idx="29">
                  <c:v>523621</c:v>
                </c:pt>
                <c:pt idx="30">
                  <c:v>530914</c:v>
                </c:pt>
                <c:pt idx="31">
                  <c:v>538265</c:v>
                </c:pt>
                <c:pt idx="32">
                  <c:v>545634</c:v>
                </c:pt>
                <c:pt idx="33">
                  <c:v>547879</c:v>
                </c:pt>
                <c:pt idx="34">
                  <c:v>553957</c:v>
                </c:pt>
                <c:pt idx="35">
                  <c:v>561785</c:v>
                </c:pt>
                <c:pt idx="36">
                  <c:v>565257</c:v>
                </c:pt>
                <c:pt idx="37">
                  <c:v>565304</c:v>
                </c:pt>
                <c:pt idx="38">
                  <c:v>571154</c:v>
                </c:pt>
                <c:pt idx="39">
                  <c:v>572021</c:v>
                </c:pt>
                <c:pt idx="40">
                  <c:v>569078</c:v>
                </c:pt>
                <c:pt idx="41">
                  <c:v>585694</c:v>
                </c:pt>
                <c:pt idx="42">
                  <c:v>601880</c:v>
                </c:pt>
                <c:pt idx="43">
                  <c:v>608458</c:v>
                </c:pt>
                <c:pt idx="44">
                  <c:v>606422</c:v>
                </c:pt>
                <c:pt idx="45">
                  <c:v>623614</c:v>
                </c:pt>
                <c:pt idx="46">
                  <c:v>625464</c:v>
                </c:pt>
                <c:pt idx="47">
                  <c:v>640155</c:v>
                </c:pt>
                <c:pt idx="48">
                  <c:v>656585</c:v>
                </c:pt>
                <c:pt idx="49">
                  <c:v>662849</c:v>
                </c:pt>
                <c:pt idx="50">
                  <c:v>665931</c:v>
                </c:pt>
                <c:pt idx="51">
                  <c:v>678214</c:v>
                </c:pt>
                <c:pt idx="52">
                  <c:v>683827</c:v>
                </c:pt>
                <c:pt idx="53">
                  <c:v>690841</c:v>
                </c:pt>
                <c:pt idx="54">
                  <c:v>690974</c:v>
                </c:pt>
                <c:pt idx="55">
                  <c:v>687374</c:v>
                </c:pt>
                <c:pt idx="56">
                  <c:v>683629</c:v>
                </c:pt>
                <c:pt idx="57">
                  <c:v>692399</c:v>
                </c:pt>
                <c:pt idx="58">
                  <c:v>705683</c:v>
                </c:pt>
                <c:pt idx="59">
                  <c:v>713849</c:v>
                </c:pt>
                <c:pt idx="60">
                  <c:v>726289</c:v>
                </c:pt>
                <c:pt idx="61">
                  <c:v>741951</c:v>
                </c:pt>
                <c:pt idx="62">
                  <c:v>745377</c:v>
                </c:pt>
                <c:pt idx="63">
                  <c:v>746581</c:v>
                </c:pt>
                <c:pt idx="64">
                  <c:v>758032</c:v>
                </c:pt>
                <c:pt idx="65">
                  <c:v>761900</c:v>
                </c:pt>
                <c:pt idx="66">
                  <c:v>766378</c:v>
                </c:pt>
                <c:pt idx="67">
                  <c:v>778522</c:v>
                </c:pt>
                <c:pt idx="68">
                  <c:v>785245</c:v>
                </c:pt>
                <c:pt idx="69">
                  <c:v>790590</c:v>
                </c:pt>
                <c:pt idx="70">
                  <c:v>797965</c:v>
                </c:pt>
                <c:pt idx="71">
                  <c:v>805531</c:v>
                </c:pt>
                <c:pt idx="72">
                  <c:v>811958</c:v>
                </c:pt>
                <c:pt idx="73">
                  <c:v>822729</c:v>
                </c:pt>
                <c:pt idx="74">
                  <c:v>828760</c:v>
                </c:pt>
                <c:pt idx="75">
                  <c:v>834320</c:v>
                </c:pt>
                <c:pt idx="76">
                  <c:v>840113</c:v>
                </c:pt>
                <c:pt idx="77">
                  <c:v>839746</c:v>
                </c:pt>
                <c:pt idx="78">
                  <c:v>839048</c:v>
                </c:pt>
                <c:pt idx="79">
                  <c:v>850657</c:v>
                </c:pt>
                <c:pt idx="80">
                  <c:v>868983</c:v>
                </c:pt>
                <c:pt idx="81">
                  <c:v>878750</c:v>
                </c:pt>
                <c:pt idx="82">
                  <c:v>870861</c:v>
                </c:pt>
                <c:pt idx="83">
                  <c:v>866874</c:v>
                </c:pt>
                <c:pt idx="84">
                  <c:v>856676</c:v>
                </c:pt>
                <c:pt idx="85">
                  <c:v>846763</c:v>
                </c:pt>
                <c:pt idx="86">
                  <c:v>839341</c:v>
                </c:pt>
                <c:pt idx="87">
                  <c:v>831597</c:v>
                </c:pt>
                <c:pt idx="88">
                  <c:v>845508</c:v>
                </c:pt>
                <c:pt idx="89">
                  <c:v>862126</c:v>
                </c:pt>
                <c:pt idx="90">
                  <c:v>871768</c:v>
                </c:pt>
                <c:pt idx="91">
                  <c:v>882754</c:v>
                </c:pt>
                <c:pt idx="92">
                  <c:v>897940</c:v>
                </c:pt>
                <c:pt idx="93">
                  <c:v>915503</c:v>
                </c:pt>
                <c:pt idx="94">
                  <c:v>919353</c:v>
                </c:pt>
                <c:pt idx="95">
                  <c:v>933920</c:v>
                </c:pt>
                <c:pt idx="96">
                  <c:v>948110</c:v>
                </c:pt>
                <c:pt idx="97">
                  <c:v>951132</c:v>
                </c:pt>
                <c:pt idx="98">
                  <c:v>963199</c:v>
                </c:pt>
                <c:pt idx="99">
                  <c:v>977982</c:v>
                </c:pt>
                <c:pt idx="100">
                  <c:v>977688</c:v>
                </c:pt>
                <c:pt idx="101">
                  <c:v>983246</c:v>
                </c:pt>
                <c:pt idx="102">
                  <c:v>984487</c:v>
                </c:pt>
                <c:pt idx="103">
                  <c:v>977378</c:v>
                </c:pt>
                <c:pt idx="104">
                  <c:v>999928</c:v>
                </c:pt>
                <c:pt idx="105">
                  <c:v>1012843</c:v>
                </c:pt>
                <c:pt idx="106">
                  <c:v>1028259</c:v>
                </c:pt>
                <c:pt idx="107">
                  <c:v>1041543</c:v>
                </c:pt>
                <c:pt idx="108">
                  <c:v>1056728</c:v>
                </c:pt>
                <c:pt idx="109">
                  <c:v>1066087</c:v>
                </c:pt>
                <c:pt idx="110">
                  <c:v>1066184</c:v>
                </c:pt>
                <c:pt idx="111">
                  <c:v>1073620</c:v>
                </c:pt>
                <c:pt idx="112">
                  <c:v>1085867</c:v>
                </c:pt>
                <c:pt idx="113">
                  <c:v>1090017</c:v>
                </c:pt>
                <c:pt idx="114">
                  <c:v>1093917</c:v>
                </c:pt>
                <c:pt idx="115">
                  <c:v>1091582</c:v>
                </c:pt>
                <c:pt idx="116">
                  <c:v>1101873</c:v>
                </c:pt>
                <c:pt idx="117">
                  <c:v>1097310</c:v>
                </c:pt>
                <c:pt idx="118">
                  <c:v>1089546</c:v>
                </c:pt>
                <c:pt idx="119">
                  <c:v>1079836</c:v>
                </c:pt>
                <c:pt idx="120">
                  <c:v>1064426</c:v>
                </c:pt>
                <c:pt idx="121">
                  <c:v>1069389</c:v>
                </c:pt>
                <c:pt idx="122">
                  <c:v>1070821</c:v>
                </c:pt>
                <c:pt idx="123">
                  <c:v>1072797</c:v>
                </c:pt>
                <c:pt idx="124">
                  <c:v>1073579</c:v>
                </c:pt>
                <c:pt idx="125">
                  <c:v>1074890</c:v>
                </c:pt>
                <c:pt idx="126">
                  <c:v>1080662</c:v>
                </c:pt>
                <c:pt idx="127">
                  <c:v>1086810</c:v>
                </c:pt>
                <c:pt idx="128">
                  <c:v>1093765</c:v>
                </c:pt>
                <c:pt idx="129">
                  <c:v>1103723</c:v>
                </c:pt>
                <c:pt idx="130">
                  <c:v>1114242</c:v>
                </c:pt>
                <c:pt idx="131">
                  <c:v>1119052</c:v>
                </c:pt>
                <c:pt idx="132">
                  <c:v>1135542</c:v>
                </c:pt>
                <c:pt idx="133">
                  <c:v>1152136</c:v>
                </c:pt>
                <c:pt idx="134">
                  <c:v>1166865</c:v>
                </c:pt>
                <c:pt idx="135">
                  <c:v>1175379</c:v>
                </c:pt>
                <c:pt idx="136">
                  <c:v>1186304</c:v>
                </c:pt>
                <c:pt idx="137">
                  <c:v>1186783</c:v>
                </c:pt>
                <c:pt idx="138">
                  <c:v>1188347</c:v>
                </c:pt>
                <c:pt idx="139">
                  <c:v>1193217</c:v>
                </c:pt>
                <c:pt idx="140">
                  <c:v>1194038</c:v>
                </c:pt>
                <c:pt idx="141">
                  <c:v>1202352</c:v>
                </c:pt>
                <c:pt idx="142">
                  <c:v>1212740</c:v>
                </c:pt>
                <c:pt idx="143">
                  <c:v>1222507</c:v>
                </c:pt>
                <c:pt idx="144">
                  <c:v>1238634</c:v>
                </c:pt>
                <c:pt idx="145">
                  <c:v>1252626</c:v>
                </c:pt>
                <c:pt idx="146">
                  <c:v>1267450</c:v>
                </c:pt>
                <c:pt idx="147">
                  <c:v>1279723</c:v>
                </c:pt>
                <c:pt idx="148">
                  <c:v>1297798</c:v>
                </c:pt>
                <c:pt idx="149">
                  <c:v>1298491</c:v>
                </c:pt>
                <c:pt idx="150">
                  <c:v>1310310</c:v>
                </c:pt>
                <c:pt idx="151">
                  <c:v>1328139</c:v>
                </c:pt>
                <c:pt idx="152">
                  <c:v>1352229</c:v>
                </c:pt>
                <c:pt idx="153">
                  <c:v>1363541</c:v>
                </c:pt>
                <c:pt idx="154">
                  <c:v>1384876</c:v>
                </c:pt>
                <c:pt idx="155">
                  <c:v>1404357</c:v>
                </c:pt>
                <c:pt idx="156">
                  <c:v>1426823</c:v>
                </c:pt>
                <c:pt idx="157">
                  <c:v>1443782</c:v>
                </c:pt>
                <c:pt idx="158">
                  <c:v>1458465</c:v>
                </c:pt>
                <c:pt idx="159">
                  <c:v>1460962</c:v>
                </c:pt>
                <c:pt idx="160">
                  <c:v>1468700</c:v>
                </c:pt>
                <c:pt idx="161">
                  <c:v>1472658</c:v>
                </c:pt>
                <c:pt idx="162">
                  <c:v>1471677</c:v>
                </c:pt>
                <c:pt idx="163">
                  <c:v>1480637</c:v>
                </c:pt>
                <c:pt idx="164">
                  <c:v>1502613</c:v>
                </c:pt>
                <c:pt idx="165">
                  <c:v>1511469</c:v>
                </c:pt>
                <c:pt idx="166">
                  <c:v>1524550</c:v>
                </c:pt>
                <c:pt idx="167">
                  <c:v>1532914</c:v>
                </c:pt>
                <c:pt idx="168">
                  <c:v>1541396</c:v>
                </c:pt>
                <c:pt idx="169">
                  <c:v>1539123</c:v>
                </c:pt>
                <c:pt idx="170">
                  <c:v>1544874</c:v>
                </c:pt>
                <c:pt idx="171">
                  <c:v>1555533</c:v>
                </c:pt>
                <c:pt idx="172">
                  <c:v>1566737</c:v>
                </c:pt>
                <c:pt idx="173">
                  <c:v>1585347</c:v>
                </c:pt>
                <c:pt idx="174">
                  <c:v>1604061</c:v>
                </c:pt>
                <c:pt idx="175">
                  <c:v>1615585</c:v>
                </c:pt>
                <c:pt idx="176">
                  <c:v>1621176</c:v>
                </c:pt>
                <c:pt idx="177">
                  <c:v>1632938</c:v>
                </c:pt>
                <c:pt idx="178">
                  <c:v>1652719</c:v>
                </c:pt>
                <c:pt idx="179">
                  <c:v>1669060</c:v>
                </c:pt>
                <c:pt idx="180">
                  <c:v>1682596</c:v>
                </c:pt>
                <c:pt idx="181">
                  <c:v>1683465</c:v>
                </c:pt>
                <c:pt idx="182">
                  <c:v>1688166</c:v>
                </c:pt>
                <c:pt idx="183">
                  <c:v>1694895</c:v>
                </c:pt>
                <c:pt idx="184">
                  <c:v>1705736</c:v>
                </c:pt>
                <c:pt idx="185">
                  <c:v>1722263</c:v>
                </c:pt>
                <c:pt idx="186">
                  <c:v>1729494</c:v>
                </c:pt>
                <c:pt idx="187">
                  <c:v>1731459</c:v>
                </c:pt>
                <c:pt idx="188">
                  <c:v>1732786</c:v>
                </c:pt>
                <c:pt idx="189">
                  <c:v>1739053</c:v>
                </c:pt>
                <c:pt idx="190">
                  <c:v>1753314</c:v>
                </c:pt>
                <c:pt idx="191">
                  <c:v>1732984</c:v>
                </c:pt>
                <c:pt idx="192">
                  <c:v>1693824</c:v>
                </c:pt>
                <c:pt idx="193">
                  <c:v>1675340</c:v>
                </c:pt>
                <c:pt idx="194">
                  <c:v>1682878</c:v>
                </c:pt>
                <c:pt idx="195">
                  <c:v>1702503</c:v>
                </c:pt>
                <c:pt idx="196">
                  <c:v>1723041</c:v>
                </c:pt>
                <c:pt idx="197">
                  <c:v>1732057</c:v>
                </c:pt>
                <c:pt idx="198">
                  <c:v>1744332</c:v>
                </c:pt>
                <c:pt idx="199">
                  <c:v>1763825</c:v>
                </c:pt>
                <c:pt idx="200">
                  <c:v>1777148</c:v>
                </c:pt>
                <c:pt idx="201">
                  <c:v>1780610</c:v>
                </c:pt>
                <c:pt idx="202">
                  <c:v>1805176</c:v>
                </c:pt>
                <c:pt idx="203">
                  <c:v>1819392</c:v>
                </c:pt>
                <c:pt idx="204">
                  <c:v>1820558</c:v>
                </c:pt>
                <c:pt idx="205">
                  <c:v>1826496</c:v>
                </c:pt>
                <c:pt idx="206">
                  <c:v>1828984</c:v>
                </c:pt>
                <c:pt idx="207">
                  <c:v>1832766</c:v>
                </c:pt>
                <c:pt idx="208">
                  <c:v>1849206</c:v>
                </c:pt>
                <c:pt idx="209">
                  <c:v>1859938</c:v>
                </c:pt>
                <c:pt idx="210">
                  <c:v>1875096</c:v>
                </c:pt>
                <c:pt idx="211">
                  <c:v>1894795</c:v>
                </c:pt>
                <c:pt idx="212">
                  <c:v>1897892</c:v>
                </c:pt>
                <c:pt idx="213">
                  <c:v>1915226</c:v>
                </c:pt>
                <c:pt idx="214">
                  <c:v>1933594</c:v>
                </c:pt>
                <c:pt idx="215">
                  <c:v>1946974</c:v>
                </c:pt>
                <c:pt idx="216">
                  <c:v>1936275</c:v>
                </c:pt>
                <c:pt idx="217">
                  <c:v>1931005</c:v>
                </c:pt>
                <c:pt idx="218">
                  <c:v>1937835</c:v>
                </c:pt>
                <c:pt idx="219">
                  <c:v>1939286</c:v>
                </c:pt>
                <c:pt idx="220">
                  <c:v>1949923</c:v>
                </c:pt>
                <c:pt idx="221">
                  <c:v>1940335</c:v>
                </c:pt>
                <c:pt idx="222">
                  <c:v>1960344</c:v>
                </c:pt>
                <c:pt idx="223">
                  <c:v>1971351</c:v>
                </c:pt>
                <c:pt idx="224">
                  <c:v>1992778</c:v>
                </c:pt>
                <c:pt idx="225">
                  <c:v>2013165</c:v>
                </c:pt>
                <c:pt idx="226">
                  <c:v>2021658</c:v>
                </c:pt>
                <c:pt idx="227">
                  <c:v>2032130</c:v>
                </c:pt>
                <c:pt idx="228">
                  <c:v>2049916</c:v>
                </c:pt>
                <c:pt idx="229">
                  <c:v>2066010</c:v>
                </c:pt>
                <c:pt idx="230">
                  <c:v>2080268</c:v>
                </c:pt>
                <c:pt idx="231">
                  <c:v>2087359</c:v>
                </c:pt>
                <c:pt idx="232">
                  <c:v>2089251</c:v>
                </c:pt>
                <c:pt idx="233">
                  <c:v>2109950</c:v>
                </c:pt>
                <c:pt idx="234">
                  <c:v>2116842</c:v>
                </c:pt>
                <c:pt idx="235">
                  <c:v>2123207</c:v>
                </c:pt>
                <c:pt idx="236">
                  <c:v>2077403</c:v>
                </c:pt>
                <c:pt idx="237">
                  <c:v>1848005</c:v>
                </c:pt>
                <c:pt idx="238">
                  <c:v>2014029</c:v>
                </c:pt>
                <c:pt idx="239">
                  <c:v>2058185</c:v>
                </c:pt>
                <c:pt idx="240">
                  <c:v>2082980</c:v>
                </c:pt>
                <c:pt idx="241">
                  <c:v>2066339</c:v>
                </c:pt>
                <c:pt idx="242">
                  <c:v>2093927</c:v>
                </c:pt>
              </c:numCache>
            </c:numRef>
          </c:val>
          <c:smooth val="0"/>
          <c:extLst>
            <c:ext xmlns:c16="http://schemas.microsoft.com/office/drawing/2014/chart" uri="{C3380CC4-5D6E-409C-BE32-E72D297353CC}">
              <c16:uniqueId val="{00000000-FC25-4AE7-AB33-FA3D6A3F6511}"/>
            </c:ext>
          </c:extLst>
        </c:ser>
        <c:dLbls>
          <c:showLegendKey val="0"/>
          <c:showVal val="0"/>
          <c:showCatName val="0"/>
          <c:showSerName val="0"/>
          <c:showPercent val="0"/>
          <c:showBubbleSize val="0"/>
        </c:dLbls>
        <c:smooth val="0"/>
        <c:axId val="908028271"/>
        <c:axId val="908041999"/>
      </c:lineChart>
      <c:catAx>
        <c:axId val="90802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crossAx val="908041999"/>
        <c:crosses val="autoZero"/>
        <c:auto val="1"/>
        <c:lblAlgn val="ctr"/>
        <c:lblOffset val="100"/>
        <c:noMultiLvlLbl val="0"/>
      </c:catAx>
      <c:valAx>
        <c:axId val="90804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80282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Graphe</a:t>
            </a:r>
            <a:r>
              <a:rPr lang="en-US" b="1" baseline="0"/>
              <a:t> de la variation de l'IPC en fonction de l'année</a:t>
            </a:r>
            <a:endParaRPr lang="en-US" b="1"/>
          </a:p>
        </c:rich>
      </c:tx>
      <c:layout>
        <c:manualLayout>
          <c:xMode val="edge"/>
          <c:yMode val="edge"/>
          <c:x val="0.45374818535236749"/>
          <c:y val="1.7921146953405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IPC!$D$9</c:f>
              <c:strCache>
                <c:ptCount val="1"/>
                <c:pt idx="0">
                  <c:v>Vide</c:v>
                </c:pt>
              </c:strCache>
            </c:strRef>
          </c:tx>
          <c:spPr>
            <a:ln w="28575" cap="rnd">
              <a:solidFill>
                <a:schemeClr val="accent1"/>
              </a:solidFill>
              <a:round/>
            </a:ln>
            <a:effectLst/>
          </c:spPr>
          <c:marker>
            <c:symbol val="none"/>
          </c:marker>
          <c:cat>
            <c:numRef>
              <c:f>IPC!$B$9:$B$116</c:f>
              <c:numCache>
                <c:formatCode>General</c:formatCode>
                <c:ptCount val="108"/>
                <c:pt idx="0">
                  <c:v>1914</c:v>
                </c:pt>
                <c:pt idx="1">
                  <c:v>1915</c:v>
                </c:pt>
                <c:pt idx="2">
                  <c:v>1916</c:v>
                </c:pt>
                <c:pt idx="3">
                  <c:v>1917</c:v>
                </c:pt>
                <c:pt idx="4">
                  <c:v>1918</c:v>
                </c:pt>
                <c:pt idx="5">
                  <c:v>1919</c:v>
                </c:pt>
                <c:pt idx="6">
                  <c:v>1920</c:v>
                </c:pt>
                <c:pt idx="7">
                  <c:v>1921</c:v>
                </c:pt>
                <c:pt idx="8">
                  <c:v>1922</c:v>
                </c:pt>
                <c:pt idx="9">
                  <c:v>1923</c:v>
                </c:pt>
                <c:pt idx="10">
                  <c:v>1924</c:v>
                </c:pt>
                <c:pt idx="11">
                  <c:v>1925</c:v>
                </c:pt>
                <c:pt idx="12">
                  <c:v>1926</c:v>
                </c:pt>
                <c:pt idx="13">
                  <c:v>1927</c:v>
                </c:pt>
                <c:pt idx="14">
                  <c:v>1928</c:v>
                </c:pt>
                <c:pt idx="15">
                  <c:v>1929</c:v>
                </c:pt>
                <c:pt idx="16">
                  <c:v>1930</c:v>
                </c:pt>
                <c:pt idx="17">
                  <c:v>1931</c:v>
                </c:pt>
                <c:pt idx="18">
                  <c:v>1932</c:v>
                </c:pt>
                <c:pt idx="19">
                  <c:v>1933</c:v>
                </c:pt>
                <c:pt idx="20">
                  <c:v>1934</c:v>
                </c:pt>
                <c:pt idx="21">
                  <c:v>1935</c:v>
                </c:pt>
                <c:pt idx="22">
                  <c:v>1936</c:v>
                </c:pt>
                <c:pt idx="23">
                  <c:v>1937</c:v>
                </c:pt>
                <c:pt idx="24">
                  <c:v>1938</c:v>
                </c:pt>
                <c:pt idx="25">
                  <c:v>1939</c:v>
                </c:pt>
                <c:pt idx="26">
                  <c:v>1940</c:v>
                </c:pt>
                <c:pt idx="27">
                  <c:v>1941</c:v>
                </c:pt>
                <c:pt idx="28">
                  <c:v>1942</c:v>
                </c:pt>
                <c:pt idx="29">
                  <c:v>1943</c:v>
                </c:pt>
                <c:pt idx="30">
                  <c:v>1944</c:v>
                </c:pt>
                <c:pt idx="31">
                  <c:v>1945</c:v>
                </c:pt>
                <c:pt idx="32">
                  <c:v>1946</c:v>
                </c:pt>
                <c:pt idx="33">
                  <c:v>1947</c:v>
                </c:pt>
                <c:pt idx="34">
                  <c:v>1948</c:v>
                </c:pt>
                <c:pt idx="35">
                  <c:v>1949</c:v>
                </c:pt>
                <c:pt idx="36">
                  <c:v>1950</c:v>
                </c:pt>
                <c:pt idx="37">
                  <c:v>1951</c:v>
                </c:pt>
                <c:pt idx="38">
                  <c:v>1952</c:v>
                </c:pt>
                <c:pt idx="39">
                  <c:v>1953</c:v>
                </c:pt>
                <c:pt idx="40">
                  <c:v>1954</c:v>
                </c:pt>
                <c:pt idx="41">
                  <c:v>1955</c:v>
                </c:pt>
                <c:pt idx="42">
                  <c:v>1956</c:v>
                </c:pt>
                <c:pt idx="43">
                  <c:v>1957</c:v>
                </c:pt>
                <c:pt idx="44">
                  <c:v>1958</c:v>
                </c:pt>
                <c:pt idx="45">
                  <c:v>1959</c:v>
                </c:pt>
                <c:pt idx="46">
                  <c:v>1960</c:v>
                </c:pt>
                <c:pt idx="47">
                  <c:v>1961</c:v>
                </c:pt>
                <c:pt idx="48">
                  <c:v>1962</c:v>
                </c:pt>
                <c:pt idx="49">
                  <c:v>1963</c:v>
                </c:pt>
                <c:pt idx="50">
                  <c:v>1964</c:v>
                </c:pt>
                <c:pt idx="51">
                  <c:v>1965</c:v>
                </c:pt>
                <c:pt idx="52">
                  <c:v>1966</c:v>
                </c:pt>
                <c:pt idx="53">
                  <c:v>1967</c:v>
                </c:pt>
                <c:pt idx="54">
                  <c:v>1968</c:v>
                </c:pt>
                <c:pt idx="55">
                  <c:v>1969</c:v>
                </c:pt>
                <c:pt idx="56">
                  <c:v>1970</c:v>
                </c:pt>
                <c:pt idx="57">
                  <c:v>1971</c:v>
                </c:pt>
                <c:pt idx="58">
                  <c:v>1972</c:v>
                </c:pt>
                <c:pt idx="59">
                  <c:v>1973</c:v>
                </c:pt>
                <c:pt idx="60">
                  <c:v>1974</c:v>
                </c:pt>
                <c:pt idx="61">
                  <c:v>1975</c:v>
                </c:pt>
                <c:pt idx="62">
                  <c:v>1976</c:v>
                </c:pt>
                <c:pt idx="63">
                  <c:v>1977</c:v>
                </c:pt>
                <c:pt idx="64">
                  <c:v>1978</c:v>
                </c:pt>
                <c:pt idx="65">
                  <c:v>1979</c:v>
                </c:pt>
                <c:pt idx="66">
                  <c:v>1980</c:v>
                </c:pt>
                <c:pt idx="67">
                  <c:v>1981</c:v>
                </c:pt>
                <c:pt idx="68">
                  <c:v>1982</c:v>
                </c:pt>
                <c:pt idx="69">
                  <c:v>1983</c:v>
                </c:pt>
                <c:pt idx="70">
                  <c:v>1984</c:v>
                </c:pt>
                <c:pt idx="71">
                  <c:v>1985</c:v>
                </c:pt>
                <c:pt idx="72">
                  <c:v>1986</c:v>
                </c:pt>
                <c:pt idx="73">
                  <c:v>1987</c:v>
                </c:pt>
                <c:pt idx="74">
                  <c:v>1988</c:v>
                </c:pt>
                <c:pt idx="75">
                  <c:v>1989</c:v>
                </c:pt>
                <c:pt idx="76">
                  <c:v>1990</c:v>
                </c:pt>
                <c:pt idx="77">
                  <c:v>1991</c:v>
                </c:pt>
                <c:pt idx="78">
                  <c:v>1992</c:v>
                </c:pt>
                <c:pt idx="79">
                  <c:v>1993</c:v>
                </c:pt>
                <c:pt idx="80">
                  <c:v>1994</c:v>
                </c:pt>
                <c:pt idx="81">
                  <c:v>1995</c:v>
                </c:pt>
                <c:pt idx="82">
                  <c:v>1996</c:v>
                </c:pt>
                <c:pt idx="83">
                  <c:v>1997</c:v>
                </c:pt>
                <c:pt idx="84">
                  <c:v>1998</c:v>
                </c:pt>
                <c:pt idx="85">
                  <c:v>1999</c:v>
                </c:pt>
                <c:pt idx="86">
                  <c:v>2000</c:v>
                </c:pt>
                <c:pt idx="87">
                  <c:v>2001</c:v>
                </c:pt>
                <c:pt idx="88">
                  <c:v>2002</c:v>
                </c:pt>
                <c:pt idx="89">
                  <c:v>2003</c:v>
                </c:pt>
                <c:pt idx="90">
                  <c:v>2004</c:v>
                </c:pt>
                <c:pt idx="91">
                  <c:v>2005</c:v>
                </c:pt>
                <c:pt idx="92">
                  <c:v>2006</c:v>
                </c:pt>
                <c:pt idx="93">
                  <c:v>2007</c:v>
                </c:pt>
                <c:pt idx="94">
                  <c:v>2008</c:v>
                </c:pt>
                <c:pt idx="95">
                  <c:v>2009</c:v>
                </c:pt>
                <c:pt idx="96">
                  <c:v>2010</c:v>
                </c:pt>
                <c:pt idx="97">
                  <c:v>2011</c:v>
                </c:pt>
                <c:pt idx="98">
                  <c:v>2012</c:v>
                </c:pt>
                <c:pt idx="99">
                  <c:v>2013</c:v>
                </c:pt>
                <c:pt idx="100">
                  <c:v>2014</c:v>
                </c:pt>
                <c:pt idx="101">
                  <c:v>2015</c:v>
                </c:pt>
                <c:pt idx="102">
                  <c:v>2016</c:v>
                </c:pt>
                <c:pt idx="103">
                  <c:v>2017</c:v>
                </c:pt>
                <c:pt idx="104">
                  <c:v>2018</c:v>
                </c:pt>
                <c:pt idx="105">
                  <c:v>2019</c:v>
                </c:pt>
                <c:pt idx="106">
                  <c:v>2020</c:v>
                </c:pt>
                <c:pt idx="107">
                  <c:v>2021</c:v>
                </c:pt>
              </c:numCache>
            </c:numRef>
          </c:cat>
          <c:val>
            <c:numRef>
              <c:f>IPC!$D$10:$D$116</c:f>
              <c:numCache>
                <c:formatCode>General</c:formatCode>
                <c:ptCount val="107"/>
                <c:pt idx="0">
                  <c:v>1.6666666666666607</c:v>
                </c:pt>
                <c:pt idx="1">
                  <c:v>4.9180327868852576</c:v>
                </c:pt>
                <c:pt idx="2">
                  <c:v>15.625</c:v>
                </c:pt>
                <c:pt idx="3">
                  <c:v>13.513513513513512</c:v>
                </c:pt>
                <c:pt idx="4">
                  <c:v>13.09523809523809</c:v>
                </c:pt>
                <c:pt idx="5">
                  <c:v>11.578947368421048</c:v>
                </c:pt>
                <c:pt idx="6">
                  <c:v>3.7735849056603805</c:v>
                </c:pt>
                <c:pt idx="7">
                  <c:v>-14.545454545454541</c:v>
                </c:pt>
                <c:pt idx="8">
                  <c:v>-2.1276595744680966</c:v>
                </c:pt>
                <c:pt idx="9">
                  <c:v>0</c:v>
                </c:pt>
                <c:pt idx="10">
                  <c:v>0</c:v>
                </c:pt>
                <c:pt idx="11">
                  <c:v>0</c:v>
                </c:pt>
                <c:pt idx="12">
                  <c:v>0</c:v>
                </c:pt>
                <c:pt idx="13">
                  <c:v>0</c:v>
                </c:pt>
                <c:pt idx="14">
                  <c:v>0</c:v>
                </c:pt>
                <c:pt idx="15">
                  <c:v>2.1739130434782727</c:v>
                </c:pt>
                <c:pt idx="16">
                  <c:v>-7.4468085106383084</c:v>
                </c:pt>
                <c:pt idx="17">
                  <c:v>-10.344827586206891</c:v>
                </c:pt>
                <c:pt idx="18">
                  <c:v>-7.692307692307689</c:v>
                </c:pt>
                <c:pt idx="19">
                  <c:v>0</c:v>
                </c:pt>
                <c:pt idx="20">
                  <c:v>0</c:v>
                </c:pt>
                <c:pt idx="21">
                  <c:v>2.7777777777777799</c:v>
                </c:pt>
                <c:pt idx="22">
                  <c:v>2.7027027027026933</c:v>
                </c:pt>
                <c:pt idx="23">
                  <c:v>1.3157894736842175</c:v>
                </c:pt>
                <c:pt idx="24">
                  <c:v>-1.2987012987013056</c:v>
                </c:pt>
                <c:pt idx="25">
                  <c:v>2.6315789473684239</c:v>
                </c:pt>
                <c:pt idx="26">
                  <c:v>5.1282051282051215</c:v>
                </c:pt>
                <c:pt idx="27">
                  <c:v>6.0975609756097571</c:v>
                </c:pt>
                <c:pt idx="28">
                  <c:v>1.1494252873563382</c:v>
                </c:pt>
                <c:pt idx="29">
                  <c:v>3.4090909090908972</c:v>
                </c:pt>
                <c:pt idx="30">
                  <c:v>-1.098901098901095</c:v>
                </c:pt>
                <c:pt idx="31">
                  <c:v>2.2222222222222143</c:v>
                </c:pt>
                <c:pt idx="32">
                  <c:v>5.4347826086956523</c:v>
                </c:pt>
                <c:pt idx="33">
                  <c:v>15.463917525773196</c:v>
                </c:pt>
                <c:pt idx="34">
                  <c:v>8.0357142857142883</c:v>
                </c:pt>
                <c:pt idx="35">
                  <c:v>0</c:v>
                </c:pt>
                <c:pt idx="36">
                  <c:v>7.4380165289256226</c:v>
                </c:pt>
                <c:pt idx="37">
                  <c:v>10.769230769230772</c:v>
                </c:pt>
                <c:pt idx="38">
                  <c:v>-2.0833333333333379</c:v>
                </c:pt>
                <c:pt idx="39">
                  <c:v>0</c:v>
                </c:pt>
                <c:pt idx="40">
                  <c:v>0</c:v>
                </c:pt>
                <c:pt idx="41">
                  <c:v>0.70921985815602584</c:v>
                </c:pt>
                <c:pt idx="42">
                  <c:v>2.8169014084507067</c:v>
                </c:pt>
                <c:pt idx="43">
                  <c:v>2.7397260273972628</c:v>
                </c:pt>
                <c:pt idx="44">
                  <c:v>2.0000000000000049</c:v>
                </c:pt>
                <c:pt idx="45">
                  <c:v>1.3071895424836555</c:v>
                </c:pt>
                <c:pt idx="46">
                  <c:v>1.2903225806451568</c:v>
                </c:pt>
                <c:pt idx="47">
                  <c:v>0</c:v>
                </c:pt>
                <c:pt idx="48">
                  <c:v>1.9108280254777117</c:v>
                </c:pt>
                <c:pt idx="49">
                  <c:v>1.8750000000000044</c:v>
                </c:pt>
                <c:pt idx="50">
                  <c:v>1.8404907975460165</c:v>
                </c:pt>
                <c:pt idx="51">
                  <c:v>3.012048192771084</c:v>
                </c:pt>
                <c:pt idx="52">
                  <c:v>3.5087719298245488</c:v>
                </c:pt>
                <c:pt idx="53">
                  <c:v>4.5197740112994396</c:v>
                </c:pt>
                <c:pt idx="54">
                  <c:v>3.7837837837837798</c:v>
                </c:pt>
                <c:pt idx="55">
                  <c:v>5.2083333333333339</c:v>
                </c:pt>
                <c:pt idx="56">
                  <c:v>0.99009900990098665</c:v>
                </c:pt>
                <c:pt idx="57">
                  <c:v>4.9019607843137258</c:v>
                </c:pt>
                <c:pt idx="58">
                  <c:v>5.6074766355140326</c:v>
                </c:pt>
                <c:pt idx="59">
                  <c:v>9.2920353982300785</c:v>
                </c:pt>
                <c:pt idx="60">
                  <c:v>11.740890688259119</c:v>
                </c:pt>
                <c:pt idx="61">
                  <c:v>9.7826086956521703</c:v>
                </c:pt>
                <c:pt idx="62">
                  <c:v>6.2706270627062768</c:v>
                </c:pt>
                <c:pt idx="63">
                  <c:v>9.0062111801242182</c:v>
                </c:pt>
                <c:pt idx="64">
                  <c:v>8.5470085470085468</c:v>
                </c:pt>
                <c:pt idx="65">
                  <c:v>9.7112860892388344</c:v>
                </c:pt>
                <c:pt idx="66">
                  <c:v>12.200956937799047</c:v>
                </c:pt>
                <c:pt idx="67">
                  <c:v>11.300639658848624</c:v>
                </c:pt>
                <c:pt idx="68">
                  <c:v>8.2375478927203005</c:v>
                </c:pt>
                <c:pt idx="69">
                  <c:v>5.4867256637168165</c:v>
                </c:pt>
                <c:pt idx="70">
                  <c:v>3.5234899328859086</c:v>
                </c:pt>
                <c:pt idx="71">
                  <c:v>4.3760129659643479</c:v>
                </c:pt>
                <c:pt idx="72">
                  <c:v>4.0372670807453321</c:v>
                </c:pt>
                <c:pt idx="73">
                  <c:v>4.0298507462686608</c:v>
                </c:pt>
                <c:pt idx="74">
                  <c:v>4.3041606886657098</c:v>
                </c:pt>
                <c:pt idx="75">
                  <c:v>5.5020632737276474</c:v>
                </c:pt>
                <c:pt idx="76">
                  <c:v>6.9100391134289394</c:v>
                </c:pt>
                <c:pt idx="77">
                  <c:v>1.5853658536585331</c:v>
                </c:pt>
                <c:pt idx="78">
                  <c:v>2.0408163265306158</c:v>
                </c:pt>
                <c:pt idx="79">
                  <c:v>1.2941176470588167</c:v>
                </c:pt>
                <c:pt idx="80">
                  <c:v>0.58072009291521487</c:v>
                </c:pt>
                <c:pt idx="81">
                  <c:v>1.6166281755196372</c:v>
                </c:pt>
                <c:pt idx="82">
                  <c:v>2.1590909090909158</c:v>
                </c:pt>
                <c:pt idx="83">
                  <c:v>1.1123470522803114</c:v>
                </c:pt>
                <c:pt idx="84">
                  <c:v>0.66006600660065373</c:v>
                </c:pt>
                <c:pt idx="85">
                  <c:v>2.1857923497267762</c:v>
                </c:pt>
                <c:pt idx="86">
                  <c:v>2.9946524064171096</c:v>
                </c:pt>
                <c:pt idx="87">
                  <c:v>1.3499480789200387</c:v>
                </c:pt>
                <c:pt idx="88">
                  <c:v>4.5081967213114815</c:v>
                </c:pt>
                <c:pt idx="89">
                  <c:v>1.2745098039215659</c:v>
                </c:pt>
                <c:pt idx="90">
                  <c:v>1.9361084220716358</c:v>
                </c:pt>
                <c:pt idx="91">
                  <c:v>2.7540360873694261</c:v>
                </c:pt>
                <c:pt idx="92">
                  <c:v>1.1090573012939027</c:v>
                </c:pt>
                <c:pt idx="93">
                  <c:v>2.1937842778793337</c:v>
                </c:pt>
                <c:pt idx="94">
                  <c:v>1.0733452593917736</c:v>
                </c:pt>
                <c:pt idx="95">
                  <c:v>1.8584070796460128</c:v>
                </c:pt>
                <c:pt idx="96">
                  <c:v>2.345786272806258</c:v>
                </c:pt>
                <c:pt idx="97">
                  <c:v>2.4617996604414309</c:v>
                </c:pt>
                <c:pt idx="98">
                  <c:v>0.49710024855011953</c:v>
                </c:pt>
                <c:pt idx="99">
                  <c:v>1.4839241549876316</c:v>
                </c:pt>
                <c:pt idx="100">
                  <c:v>0.97481722177092023</c:v>
                </c:pt>
                <c:pt idx="101">
                  <c:v>2.0112630732099759</c:v>
                </c:pt>
                <c:pt idx="102">
                  <c:v>2.129337539432179</c:v>
                </c:pt>
                <c:pt idx="103">
                  <c:v>1.6988416988416899</c:v>
                </c:pt>
                <c:pt idx="104">
                  <c:v>1.4426727410782125</c:v>
                </c:pt>
                <c:pt idx="105">
                  <c:v>2.3952095808383365</c:v>
                </c:pt>
                <c:pt idx="106">
                  <c:v>1.0233918128654804</c:v>
                </c:pt>
              </c:numCache>
            </c:numRef>
          </c:val>
          <c:smooth val="0"/>
          <c:extLst>
            <c:ext xmlns:c16="http://schemas.microsoft.com/office/drawing/2014/chart" uri="{C3380CC4-5D6E-409C-BE32-E72D297353CC}">
              <c16:uniqueId val="{00000000-4009-4F68-BA69-80AD1B0BBB4C}"/>
            </c:ext>
          </c:extLst>
        </c:ser>
        <c:dLbls>
          <c:showLegendKey val="0"/>
          <c:showVal val="0"/>
          <c:showCatName val="0"/>
          <c:showSerName val="0"/>
          <c:showPercent val="0"/>
          <c:showBubbleSize val="0"/>
        </c:dLbls>
        <c:smooth val="0"/>
        <c:axId val="812760943"/>
        <c:axId val="812756783"/>
      </c:lineChart>
      <c:catAx>
        <c:axId val="81276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812756783"/>
        <c:crosses val="autoZero"/>
        <c:auto val="1"/>
        <c:lblAlgn val="ctr"/>
        <c:lblOffset val="100"/>
        <c:noMultiLvlLbl val="0"/>
      </c:catAx>
      <c:valAx>
        <c:axId val="81275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12760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76200</xdr:colOff>
      <xdr:row>124</xdr:row>
      <xdr:rowOff>152400</xdr:rowOff>
    </xdr:from>
    <xdr:to>
      <xdr:col>27</xdr:col>
      <xdr:colOff>800100</xdr:colOff>
      <xdr:row>153</xdr:row>
      <xdr:rowOff>190500</xdr:rowOff>
    </xdr:to>
    <xdr:graphicFrame macro="">
      <xdr:nvGraphicFramePr>
        <xdr:cNvPr id="3" name="Graphique 2">
          <a:extLst>
            <a:ext uri="{FF2B5EF4-FFF2-40B4-BE49-F238E27FC236}">
              <a16:creationId xmlns:a16="http://schemas.microsoft.com/office/drawing/2014/main" id="{234EC303-5D4F-4985-8229-691ADF2B4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82</xdr:row>
      <xdr:rowOff>43543</xdr:rowOff>
    </xdr:from>
    <xdr:to>
      <xdr:col>23</xdr:col>
      <xdr:colOff>21770</xdr:colOff>
      <xdr:row>118</xdr:row>
      <xdr:rowOff>76200</xdr:rowOff>
    </xdr:to>
    <xdr:graphicFrame macro="">
      <xdr:nvGraphicFramePr>
        <xdr:cNvPr id="2" name="Graphique 1">
          <a:extLst>
            <a:ext uri="{FF2B5EF4-FFF2-40B4-BE49-F238E27FC236}">
              <a16:creationId xmlns:a16="http://schemas.microsoft.com/office/drawing/2014/main" id="{E2D5B90B-7F6A-42FC-A42A-1FEC59CE7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FA04-3F26-3349-8994-1A20D560FA92}">
  <dimension ref="A2:J25"/>
  <sheetViews>
    <sheetView zoomScale="70" zoomScaleNormal="70" workbookViewId="0">
      <selection activeCell="J19" sqref="J19"/>
    </sheetView>
  </sheetViews>
  <sheetFormatPr baseColWidth="10" defaultRowHeight="15.6"/>
  <cols>
    <col min="1" max="1" width="4.19921875" customWidth="1"/>
    <col min="2" max="2" width="32.19921875" customWidth="1"/>
    <col min="7" max="7" width="4.796875" customWidth="1"/>
    <col min="8" max="8" width="48.69921875" customWidth="1"/>
    <col min="9" max="9" width="24" customWidth="1"/>
    <col min="10" max="10" width="23.796875" customWidth="1"/>
  </cols>
  <sheetData>
    <row r="2" spans="1:10" ht="91.05" customHeight="1">
      <c r="B2" s="52" t="s">
        <v>283</v>
      </c>
      <c r="C2" s="53"/>
      <c r="D2" s="53"/>
      <c r="E2" s="53"/>
      <c r="F2" s="53"/>
    </row>
    <row r="3" spans="1:10">
      <c r="B3" s="53"/>
      <c r="C3" s="53"/>
      <c r="D3" s="53"/>
      <c r="E3" s="53"/>
      <c r="F3" s="53"/>
    </row>
    <row r="4" spans="1:10">
      <c r="B4" s="53"/>
      <c r="C4" s="53"/>
      <c r="D4" s="53"/>
      <c r="E4" s="53"/>
      <c r="F4" s="53"/>
    </row>
    <row r="6" spans="1:10" s="36" customFormat="1" ht="25.05" customHeight="1">
      <c r="B6" s="51"/>
      <c r="C6" s="50">
        <v>2013</v>
      </c>
      <c r="D6" s="50"/>
      <c r="E6" s="50">
        <v>2014</v>
      </c>
      <c r="F6" s="50"/>
    </row>
    <row r="7" spans="1:10" s="36" customFormat="1" ht="28.95" customHeight="1">
      <c r="B7" s="51"/>
      <c r="C7" s="39" t="s">
        <v>264</v>
      </c>
      <c r="D7" s="40" t="s">
        <v>262</v>
      </c>
      <c r="E7" s="39" t="s">
        <v>264</v>
      </c>
      <c r="F7" s="40" t="s">
        <v>262</v>
      </c>
    </row>
    <row r="8" spans="1:10" s="36" customFormat="1" ht="28.95" customHeight="1">
      <c r="B8" s="37" t="s">
        <v>261</v>
      </c>
      <c r="C8" s="41">
        <v>100</v>
      </c>
      <c r="D8" s="42">
        <v>25</v>
      </c>
      <c r="E8" s="41">
        <v>110</v>
      </c>
      <c r="F8" s="42">
        <v>25</v>
      </c>
    </row>
    <row r="9" spans="1:10" s="36" customFormat="1" ht="28.95" customHeight="1">
      <c r="B9" s="37" t="s">
        <v>263</v>
      </c>
      <c r="C9" s="41">
        <v>500</v>
      </c>
      <c r="D9" s="42" t="s">
        <v>266</v>
      </c>
      <c r="E9" s="41">
        <v>500</v>
      </c>
      <c r="F9" s="42">
        <v>1.5</v>
      </c>
    </row>
    <row r="10" spans="1:10" s="36" customFormat="1" ht="28.95" customHeight="1">
      <c r="B10" s="38" t="s">
        <v>265</v>
      </c>
      <c r="C10" s="41">
        <v>1000</v>
      </c>
      <c r="D10" s="42">
        <v>2</v>
      </c>
      <c r="E10" s="41">
        <v>900</v>
      </c>
      <c r="F10" s="42">
        <v>4</v>
      </c>
    </row>
    <row r="12" spans="1:10">
      <c r="I12" t="s">
        <v>275</v>
      </c>
    </row>
    <row r="13" spans="1:10">
      <c r="B13" s="35"/>
    </row>
    <row r="14" spans="1:10">
      <c r="A14" s="36"/>
      <c r="B14" s="36"/>
      <c r="C14" s="36"/>
      <c r="D14" s="36"/>
      <c r="E14" s="36"/>
      <c r="F14" s="36"/>
      <c r="G14" s="36"/>
      <c r="H14" s="36"/>
      <c r="I14" s="30">
        <v>2013</v>
      </c>
      <c r="J14" s="30">
        <v>2014</v>
      </c>
    </row>
    <row r="15" spans="1:10" ht="25.05" customHeight="1">
      <c r="A15" s="44" t="s">
        <v>268</v>
      </c>
      <c r="B15" s="44" t="s">
        <v>276</v>
      </c>
      <c r="C15" s="44"/>
      <c r="D15" s="44"/>
      <c r="E15" s="44"/>
      <c r="F15" s="44"/>
      <c r="G15" s="44"/>
      <c r="H15" s="44"/>
      <c r="I15" s="43">
        <f>(C8*D8)+(C9*D9)+(C10*D10)</f>
        <v>5000</v>
      </c>
      <c r="J15" s="48">
        <f>(E8*F8)+(E9*F9)+(E10*F10)</f>
        <v>7100</v>
      </c>
    </row>
    <row r="16" spans="1:10" ht="25.05" customHeight="1">
      <c r="A16" s="44" t="s">
        <v>269</v>
      </c>
      <c r="B16" s="44" t="s">
        <v>277</v>
      </c>
      <c r="C16" s="44"/>
      <c r="D16" s="44"/>
      <c r="E16" s="44"/>
      <c r="F16" s="44"/>
      <c r="G16" s="44"/>
      <c r="H16" s="44"/>
      <c r="I16" s="43">
        <f>(C8*D8)+(C9*D9)+(C10*D10)</f>
        <v>5000</v>
      </c>
      <c r="J16" s="48">
        <f>(E8*D8)+(E9*D9)+(E10*D10)</f>
        <v>5050</v>
      </c>
    </row>
    <row r="17" spans="1:10" ht="25.05" customHeight="1">
      <c r="A17" s="44" t="s">
        <v>270</v>
      </c>
      <c r="B17" s="44" t="s">
        <v>278</v>
      </c>
      <c r="C17" s="44"/>
      <c r="D17" s="44"/>
      <c r="E17" s="44"/>
      <c r="F17" s="44"/>
      <c r="G17" s="44"/>
      <c r="H17" s="44"/>
      <c r="I17" s="49" t="s">
        <v>290</v>
      </c>
      <c r="J17" s="48">
        <f>(J16/I16) - 1</f>
        <v>1.0000000000000009E-2</v>
      </c>
    </row>
    <row r="18" spans="1:10" ht="25.05" customHeight="1">
      <c r="A18" s="44" t="s">
        <v>271</v>
      </c>
      <c r="B18" s="44" t="s">
        <v>279</v>
      </c>
      <c r="C18" s="44"/>
      <c r="D18" s="44"/>
      <c r="E18" s="44"/>
      <c r="F18" s="44"/>
      <c r="G18" s="44"/>
      <c r="H18" s="44"/>
      <c r="I18" s="43">
        <f>(C8*F8)+(C9*F9)+(C10*F10)</f>
        <v>7250</v>
      </c>
      <c r="J18" s="43">
        <f>(E8*F8)+(E9*F9)+(E10*F10)</f>
        <v>7100</v>
      </c>
    </row>
    <row r="19" spans="1:10" ht="25.05" customHeight="1">
      <c r="A19" s="44" t="s">
        <v>272</v>
      </c>
      <c r="B19" s="44" t="s">
        <v>280</v>
      </c>
      <c r="C19" s="44"/>
      <c r="D19" s="44"/>
      <c r="E19" s="44"/>
      <c r="F19" s="44"/>
      <c r="G19" s="44"/>
      <c r="H19" s="44"/>
      <c r="I19" s="49" t="s">
        <v>290</v>
      </c>
      <c r="J19" s="59">
        <f>(J18/I18)-1</f>
        <v>-2.0689655172413834E-2</v>
      </c>
    </row>
    <row r="20" spans="1:10" ht="25.05" customHeight="1">
      <c r="A20" s="44" t="s">
        <v>274</v>
      </c>
      <c r="B20" s="44" t="s">
        <v>281</v>
      </c>
      <c r="C20" s="44"/>
      <c r="D20" s="44"/>
      <c r="E20" s="44"/>
      <c r="F20" s="44"/>
      <c r="G20" s="44"/>
      <c r="H20" s="44"/>
      <c r="I20" s="43">
        <f>(I15/I16)*100</f>
        <v>100</v>
      </c>
      <c r="J20" s="58">
        <f>(J15/J16)*100</f>
        <v>140.59405940594058</v>
      </c>
    </row>
    <row r="21" spans="1:10" ht="25.05" customHeight="1">
      <c r="A21" s="44" t="s">
        <v>273</v>
      </c>
      <c r="B21" s="44" t="s">
        <v>282</v>
      </c>
      <c r="C21" s="44"/>
      <c r="D21" s="44"/>
      <c r="E21" s="44"/>
      <c r="F21" s="44"/>
      <c r="G21" s="44"/>
      <c r="H21" s="44"/>
      <c r="I21" s="49" t="s">
        <v>290</v>
      </c>
      <c r="J21" s="60">
        <f>((J20-I20)/I20)*100</f>
        <v>40.594059405940584</v>
      </c>
    </row>
    <row r="22" spans="1:10">
      <c r="A22" s="35"/>
      <c r="B22" s="35"/>
      <c r="C22" s="35"/>
      <c r="D22" s="35"/>
      <c r="E22" s="35"/>
      <c r="F22" s="35"/>
      <c r="G22" s="35"/>
      <c r="H22" s="35"/>
      <c r="I22" s="35"/>
    </row>
    <row r="23" spans="1:10">
      <c r="A23" s="35"/>
      <c r="B23" s="35"/>
      <c r="C23" s="35"/>
      <c r="D23" s="35"/>
      <c r="E23" s="35"/>
      <c r="F23" s="35"/>
      <c r="G23" s="35"/>
      <c r="H23" s="35"/>
      <c r="I23" s="35"/>
    </row>
    <row r="25" spans="1:10">
      <c r="B25" s="35"/>
    </row>
  </sheetData>
  <mergeCells count="4">
    <mergeCell ref="C6:D6"/>
    <mergeCell ref="E6:F6"/>
    <mergeCell ref="B6:B7"/>
    <mergeCell ref="B2: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7D48-D480-7E43-948B-F07C30A982D4}">
  <dimension ref="E3:W21"/>
  <sheetViews>
    <sheetView topLeftCell="B8" zoomScale="50" zoomScaleNormal="50" workbookViewId="0">
      <selection activeCell="Y12" sqref="Y12"/>
    </sheetView>
  </sheetViews>
  <sheetFormatPr baseColWidth="10" defaultColWidth="10.796875" defaultRowHeight="22.8"/>
  <cols>
    <col min="1" max="4" width="10.796875" style="7"/>
    <col min="5" max="5" width="15.5" style="8" customWidth="1"/>
    <col min="6" max="6" width="2.296875" style="7" customWidth="1"/>
    <col min="7" max="7" width="20.69921875" style="7" customWidth="1"/>
    <col min="8" max="8" width="25" style="7" customWidth="1"/>
    <col min="9" max="9" width="2.296875" style="7" customWidth="1"/>
    <col min="10" max="10" width="18.19921875" style="7" customWidth="1"/>
    <col min="11" max="11" width="21.296875" style="7" customWidth="1"/>
    <col min="12" max="12" width="1.296875" style="7" customWidth="1"/>
    <col min="13" max="13" width="17.796875" style="7" customWidth="1"/>
    <col min="14" max="14" width="23.19921875" style="7" customWidth="1"/>
    <col min="15" max="15" width="10.796875" style="7"/>
    <col min="16" max="17" width="14.796875" style="7" customWidth="1"/>
    <col min="18" max="18" width="19.796875" style="7" customWidth="1"/>
    <col min="19" max="19" width="4.5" style="7" customWidth="1"/>
    <col min="20" max="20" width="20.796875" style="7" customWidth="1"/>
    <col min="21" max="21" width="5" style="7" customWidth="1"/>
    <col min="22" max="22" width="5.19921875" style="7" customWidth="1"/>
    <col min="23" max="23" width="22.796875" style="7" customWidth="1"/>
    <col min="24" max="16384" width="10.796875" style="7"/>
  </cols>
  <sheetData>
    <row r="3" spans="5:23">
      <c r="R3" s="47" t="s">
        <v>288</v>
      </c>
      <c r="S3" s="47"/>
      <c r="T3" s="47" t="s">
        <v>288</v>
      </c>
      <c r="U3" s="46"/>
      <c r="W3" s="47" t="s">
        <v>289</v>
      </c>
    </row>
    <row r="5" spans="5:23" ht="18" customHeight="1">
      <c r="P5" s="54" t="s">
        <v>245</v>
      </c>
      <c r="Q5" s="23"/>
      <c r="R5" s="57" t="s">
        <v>293</v>
      </c>
      <c r="T5" s="54" t="s">
        <v>294</v>
      </c>
      <c r="U5" s="54"/>
      <c r="W5" s="54" t="s">
        <v>295</v>
      </c>
    </row>
    <row r="6" spans="5:23" ht="7.95" hidden="1" customHeight="1">
      <c r="P6" s="54"/>
      <c r="Q6" s="23"/>
      <c r="R6" s="57"/>
      <c r="T6" s="54"/>
      <c r="U6" s="54"/>
      <c r="W6" s="54"/>
    </row>
    <row r="7" spans="5:23" ht="25.05" hidden="1" customHeight="1">
      <c r="P7" s="54"/>
      <c r="Q7" s="23"/>
      <c r="R7" s="57"/>
      <c r="T7" s="54"/>
      <c r="U7" s="54"/>
      <c r="W7" s="54"/>
    </row>
    <row r="8" spans="5:23" ht="129" customHeight="1">
      <c r="E8" s="21"/>
      <c r="F8" s="22"/>
      <c r="G8" s="56" t="s">
        <v>243</v>
      </c>
      <c r="H8" s="56"/>
      <c r="I8" s="22"/>
      <c r="J8" s="56" t="s">
        <v>292</v>
      </c>
      <c r="K8" s="56"/>
      <c r="L8" s="22"/>
      <c r="M8" s="56" t="s">
        <v>258</v>
      </c>
      <c r="N8" s="56"/>
      <c r="P8" s="54"/>
      <c r="Q8" s="23"/>
      <c r="R8" s="57"/>
      <c r="T8" s="54"/>
      <c r="U8" s="54"/>
      <c r="W8" s="54"/>
    </row>
    <row r="9" spans="5:23" ht="64.95" customHeight="1">
      <c r="E9" s="9" t="s">
        <v>241</v>
      </c>
      <c r="F9" s="10"/>
      <c r="G9" s="9" t="s">
        <v>242</v>
      </c>
      <c r="H9" s="11" t="s">
        <v>291</v>
      </c>
      <c r="I9" s="9"/>
      <c r="J9" s="9" t="s">
        <v>242</v>
      </c>
      <c r="K9" s="11" t="s">
        <v>257</v>
      </c>
      <c r="L9" s="9"/>
      <c r="M9" s="9" t="s">
        <v>242</v>
      </c>
      <c r="N9" s="11" t="s">
        <v>259</v>
      </c>
      <c r="Q9" s="28"/>
    </row>
    <row r="10" spans="5:23" s="12" customFormat="1" ht="54" customHeight="1">
      <c r="E10" s="13">
        <v>2019</v>
      </c>
      <c r="F10" s="14"/>
      <c r="G10" s="15">
        <v>1500</v>
      </c>
      <c r="H10" s="33">
        <v>7</v>
      </c>
      <c r="I10" s="16"/>
      <c r="J10" s="15">
        <v>100</v>
      </c>
      <c r="K10" s="13">
        <v>7</v>
      </c>
      <c r="L10" s="16"/>
      <c r="M10" s="15">
        <v>2</v>
      </c>
      <c r="N10" s="16">
        <v>2</v>
      </c>
      <c r="P10" s="27">
        <v>2019</v>
      </c>
      <c r="Q10" s="29"/>
      <c r="R10" s="26">
        <f>(G10*H10)+(J10*K10)+(M10*N10)</f>
        <v>11204</v>
      </c>
      <c r="T10" s="26">
        <f>(G10*H10)+(J10*K10)+(M10*N10)</f>
        <v>11204</v>
      </c>
      <c r="W10" s="26">
        <f>1*11204</f>
        <v>11204</v>
      </c>
    </row>
    <row r="11" spans="5:23" s="12" customFormat="1" ht="54" customHeight="1">
      <c r="E11" s="13">
        <v>2020</v>
      </c>
      <c r="F11" s="14"/>
      <c r="G11" s="15">
        <v>1200</v>
      </c>
      <c r="H11" s="33">
        <v>9</v>
      </c>
      <c r="I11" s="16"/>
      <c r="J11" s="15">
        <v>110</v>
      </c>
      <c r="K11" s="13">
        <v>9</v>
      </c>
      <c r="L11" s="16"/>
      <c r="M11" s="15">
        <v>4</v>
      </c>
      <c r="N11" s="16">
        <v>2</v>
      </c>
      <c r="P11" s="27">
        <v>2020</v>
      </c>
      <c r="Q11" s="29"/>
      <c r="R11" s="26">
        <f>(G11*H11)+(J11*K11)+(M11*N11)</f>
        <v>11798</v>
      </c>
      <c r="T11" s="26">
        <f>(G10*H11)+(J10*K11)+(M10*N11)</f>
        <v>14404</v>
      </c>
      <c r="U11" s="24"/>
      <c r="W11" s="26">
        <f>1.011*11204</f>
        <v>11327.243999999999</v>
      </c>
    </row>
    <row r="12" spans="5:23" s="12" customFormat="1" ht="54" customHeight="1" thickBot="1">
      <c r="E12" s="17">
        <v>2021</v>
      </c>
      <c r="F12" s="18"/>
      <c r="G12" s="19">
        <v>1000</v>
      </c>
      <c r="H12" s="34">
        <v>9</v>
      </c>
      <c r="I12" s="20"/>
      <c r="J12" s="19">
        <v>120</v>
      </c>
      <c r="K12" s="17">
        <v>10</v>
      </c>
      <c r="L12" s="20"/>
      <c r="M12" s="19">
        <v>4</v>
      </c>
      <c r="N12" s="20">
        <v>3</v>
      </c>
      <c r="P12" s="27">
        <v>2021</v>
      </c>
      <c r="Q12" s="29"/>
      <c r="R12" s="26">
        <f>(G12*H12)+(J12*K12)+(M12*N12)</f>
        <v>10212</v>
      </c>
      <c r="T12" s="26">
        <f>(G10*H12)+(J10*K12)+(M10*N12)</f>
        <v>14506</v>
      </c>
      <c r="U12" s="24"/>
      <c r="W12" s="26">
        <f>1.3*11.204</f>
        <v>14.565200000000001</v>
      </c>
    </row>
    <row r="13" spans="5:23" ht="54" customHeight="1" thickTop="1"/>
    <row r="14" spans="5:23" ht="25.05" customHeight="1"/>
    <row r="15" spans="5:23" s="45" customFormat="1" ht="42" customHeight="1">
      <c r="E15" s="55" t="s">
        <v>284</v>
      </c>
      <c r="F15" s="55"/>
      <c r="G15" s="55"/>
      <c r="H15" s="55"/>
      <c r="I15" s="55"/>
      <c r="J15" s="55"/>
      <c r="K15" s="55"/>
      <c r="L15" s="55"/>
      <c r="M15" s="55"/>
      <c r="N15" s="55"/>
    </row>
    <row r="16" spans="5:23" s="45" customFormat="1" ht="42" customHeight="1">
      <c r="E16" s="55"/>
      <c r="F16" s="55"/>
      <c r="G16" s="55"/>
      <c r="H16" s="55"/>
      <c r="I16" s="55"/>
      <c r="J16" s="55"/>
      <c r="K16" s="55"/>
      <c r="L16" s="55"/>
      <c r="M16" s="55"/>
      <c r="N16" s="55"/>
    </row>
    <row r="17" spans="5:14" s="45" customFormat="1" ht="42" customHeight="1">
      <c r="E17" s="55"/>
      <c r="F17" s="55"/>
      <c r="G17" s="55"/>
      <c r="H17" s="55"/>
      <c r="I17" s="55"/>
      <c r="J17" s="55"/>
      <c r="K17" s="55"/>
      <c r="L17" s="55"/>
      <c r="M17" s="55"/>
      <c r="N17" s="55"/>
    </row>
    <row r="18" spans="5:14" ht="25.05" customHeight="1"/>
    <row r="19" spans="5:14" ht="37.049999999999997" customHeight="1">
      <c r="E19" s="8" t="s">
        <v>267</v>
      </c>
      <c r="G19" s="12" t="s">
        <v>286</v>
      </c>
    </row>
    <row r="20" spans="5:14" ht="28.05" customHeight="1">
      <c r="G20" s="36"/>
    </row>
    <row r="21" spans="5:14" ht="28.05" customHeight="1">
      <c r="E21" s="8" t="s">
        <v>285</v>
      </c>
      <c r="G21" s="12" t="s">
        <v>287</v>
      </c>
    </row>
  </sheetData>
  <mergeCells count="9">
    <mergeCell ref="W5:W8"/>
    <mergeCell ref="E15:N17"/>
    <mergeCell ref="U5:U8"/>
    <mergeCell ref="P5:P8"/>
    <mergeCell ref="T5:T8"/>
    <mergeCell ref="G8:H8"/>
    <mergeCell ref="J8:K8"/>
    <mergeCell ref="M8:N8"/>
    <mergeCell ref="R5:R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E252"/>
  <sheetViews>
    <sheetView topLeftCell="A125" zoomScale="60" zoomScaleNormal="60" workbookViewId="0">
      <selection activeCell="E10" sqref="E10:E252"/>
    </sheetView>
  </sheetViews>
  <sheetFormatPr baseColWidth="10" defaultColWidth="10.796875" defaultRowHeight="15.6"/>
  <cols>
    <col min="1" max="16384" width="10.796875" style="1"/>
  </cols>
  <sheetData>
    <row r="6" spans="1:5">
      <c r="C6" s="1" t="s">
        <v>237</v>
      </c>
    </row>
    <row r="7" spans="1:5">
      <c r="C7" s="1" t="s">
        <v>246</v>
      </c>
    </row>
    <row r="8" spans="1:5">
      <c r="A8" s="1" t="s">
        <v>247</v>
      </c>
      <c r="B8" s="2" t="s">
        <v>236</v>
      </c>
      <c r="C8" s="3" t="s">
        <v>0</v>
      </c>
    </row>
    <row r="9" spans="1:5" ht="46.8">
      <c r="C9" s="4" t="s">
        <v>233</v>
      </c>
      <c r="E9" s="4" t="s">
        <v>234</v>
      </c>
    </row>
    <row r="10" spans="1:5" ht="22.95" customHeight="1">
      <c r="B10" s="3" t="s">
        <v>1</v>
      </c>
      <c r="C10" s="25">
        <v>342687</v>
      </c>
      <c r="D10" s="3"/>
      <c r="E10" s="5" t="s">
        <v>235</v>
      </c>
    </row>
    <row r="11" spans="1:5" ht="22.95" customHeight="1">
      <c r="B11" s="3" t="s">
        <v>2</v>
      </c>
      <c r="C11" s="25">
        <v>351364</v>
      </c>
      <c r="D11" s="3"/>
      <c r="E11" s="6">
        <f>C11/C10-1</f>
        <v>2.5320481955837248E-2</v>
      </c>
    </row>
    <row r="12" spans="1:5" ht="22.95" customHeight="1">
      <c r="B12" s="3" t="s">
        <v>3</v>
      </c>
      <c r="C12" s="25">
        <v>359914</v>
      </c>
      <c r="D12" s="3"/>
      <c r="E12" s="6">
        <f t="shared" ref="E12:E75" si="0">C12/C11-1</f>
        <v>2.4333739369998053E-2</v>
      </c>
    </row>
    <row r="13" spans="1:5" ht="22.95" customHeight="1">
      <c r="B13" s="3" t="s">
        <v>4</v>
      </c>
      <c r="C13" s="25">
        <v>364811</v>
      </c>
      <c r="D13" s="3"/>
      <c r="E13" s="6">
        <f t="shared" si="0"/>
        <v>1.3606028106714296E-2</v>
      </c>
    </row>
    <row r="14" spans="1:5" ht="22.95" customHeight="1">
      <c r="B14" s="3" t="s">
        <v>5</v>
      </c>
      <c r="C14" s="25">
        <v>374518</v>
      </c>
      <c r="D14" s="3"/>
      <c r="E14" s="6">
        <f t="shared" si="0"/>
        <v>2.6608298543629338E-2</v>
      </c>
    </row>
    <row r="15" spans="1:5" ht="22.95" customHeight="1">
      <c r="B15" s="3" t="s">
        <v>6</v>
      </c>
      <c r="C15" s="25">
        <v>377495</v>
      </c>
      <c r="D15" s="3"/>
      <c r="E15" s="6">
        <f t="shared" si="0"/>
        <v>7.9488836317613831E-3</v>
      </c>
    </row>
    <row r="16" spans="1:5" ht="22.95" customHeight="1">
      <c r="B16" s="3" t="s">
        <v>7</v>
      </c>
      <c r="C16" s="25">
        <v>382323</v>
      </c>
      <c r="D16" s="3"/>
      <c r="E16" s="6">
        <f t="shared" si="0"/>
        <v>1.2789573371832841E-2</v>
      </c>
    </row>
    <row r="17" spans="2:5" ht="22.95" customHeight="1">
      <c r="B17" s="3" t="s">
        <v>8</v>
      </c>
      <c r="C17" s="25">
        <v>389825</v>
      </c>
      <c r="D17" s="3"/>
      <c r="E17" s="6">
        <f t="shared" si="0"/>
        <v>1.9622151950052791E-2</v>
      </c>
    </row>
    <row r="18" spans="2:5" ht="22.95" customHeight="1">
      <c r="B18" s="3" t="s">
        <v>9</v>
      </c>
      <c r="C18" s="25">
        <v>392297</v>
      </c>
      <c r="D18" s="3"/>
      <c r="E18" s="6">
        <f t="shared" si="0"/>
        <v>6.3413069967293012E-3</v>
      </c>
    </row>
    <row r="19" spans="2:5" ht="22.95" customHeight="1">
      <c r="B19" s="3" t="s">
        <v>10</v>
      </c>
      <c r="C19" s="25">
        <v>398002</v>
      </c>
      <c r="D19" s="3"/>
      <c r="E19" s="6">
        <f t="shared" si="0"/>
        <v>1.4542553218607424E-2</v>
      </c>
    </row>
    <row r="20" spans="2:5" ht="22.95" customHeight="1">
      <c r="B20" s="3" t="s">
        <v>11</v>
      </c>
      <c r="C20" s="25">
        <v>401027</v>
      </c>
      <c r="D20" s="3"/>
      <c r="E20" s="6">
        <f t="shared" si="0"/>
        <v>7.6004643192748578E-3</v>
      </c>
    </row>
    <row r="21" spans="2:5" ht="22.95" customHeight="1">
      <c r="B21" s="3" t="s">
        <v>12</v>
      </c>
      <c r="C21" s="25">
        <v>413577</v>
      </c>
      <c r="D21" s="3"/>
      <c r="E21" s="6">
        <f t="shared" si="0"/>
        <v>3.1294650983599626E-2</v>
      </c>
    </row>
    <row r="22" spans="2:5" ht="22.95" customHeight="1">
      <c r="B22" s="3" t="s">
        <v>13</v>
      </c>
      <c r="C22" s="25">
        <v>423930</v>
      </c>
      <c r="D22" s="3"/>
      <c r="E22" s="6">
        <f t="shared" si="0"/>
        <v>2.5032823392016512E-2</v>
      </c>
    </row>
    <row r="23" spans="2:5" ht="22.95" customHeight="1">
      <c r="B23" s="3" t="s">
        <v>14</v>
      </c>
      <c r="C23" s="25">
        <v>425518</v>
      </c>
      <c r="D23" s="3"/>
      <c r="E23" s="6">
        <f t="shared" si="0"/>
        <v>3.7459014459935158E-3</v>
      </c>
    </row>
    <row r="24" spans="2:5" ht="22.95" customHeight="1">
      <c r="B24" s="3" t="s">
        <v>15</v>
      </c>
      <c r="C24" s="25">
        <v>430060</v>
      </c>
      <c r="D24" s="3"/>
      <c r="E24" s="6">
        <f t="shared" si="0"/>
        <v>1.0674049041403677E-2</v>
      </c>
    </row>
    <row r="25" spans="2:5" ht="22.95" customHeight="1">
      <c r="B25" s="3" t="s">
        <v>16</v>
      </c>
      <c r="C25" s="25">
        <v>432217</v>
      </c>
      <c r="D25" s="3"/>
      <c r="E25" s="6">
        <f t="shared" si="0"/>
        <v>5.0155792215040851E-3</v>
      </c>
    </row>
    <row r="26" spans="2:5" ht="22.95" customHeight="1">
      <c r="B26" s="3" t="s">
        <v>17</v>
      </c>
      <c r="C26" s="25">
        <v>445966</v>
      </c>
      <c r="D26" s="3"/>
      <c r="E26" s="6">
        <f t="shared" si="0"/>
        <v>3.1810410048656035E-2</v>
      </c>
    </row>
    <row r="27" spans="2:5" ht="22.95" customHeight="1">
      <c r="B27" s="3" t="s">
        <v>18</v>
      </c>
      <c r="C27" s="25">
        <v>450049</v>
      </c>
      <c r="D27" s="3"/>
      <c r="E27" s="6">
        <f t="shared" si="0"/>
        <v>9.1554064659638001E-3</v>
      </c>
    </row>
    <row r="28" spans="2:5" ht="22.95" customHeight="1">
      <c r="B28" s="3" t="s">
        <v>19</v>
      </c>
      <c r="C28" s="25">
        <v>456330</v>
      </c>
      <c r="D28" s="3"/>
      <c r="E28" s="6">
        <f t="shared" si="0"/>
        <v>1.3956258096340601E-2</v>
      </c>
    </row>
    <row r="29" spans="2:5" ht="22.95" customHeight="1">
      <c r="B29" s="3" t="s">
        <v>20</v>
      </c>
      <c r="C29" s="25">
        <v>467514</v>
      </c>
      <c r="D29" s="3"/>
      <c r="E29" s="6">
        <f t="shared" si="0"/>
        <v>2.4508579317599199E-2</v>
      </c>
    </row>
    <row r="30" spans="2:5" ht="22.95" customHeight="1">
      <c r="B30" s="3" t="s">
        <v>21</v>
      </c>
      <c r="C30" s="25">
        <v>476611</v>
      </c>
      <c r="D30" s="3"/>
      <c r="E30" s="6">
        <f t="shared" si="0"/>
        <v>1.9458240822734618E-2</v>
      </c>
    </row>
    <row r="31" spans="2:5" ht="22.95" customHeight="1">
      <c r="B31" s="3" t="s">
        <v>22</v>
      </c>
      <c r="C31" s="25">
        <v>486899</v>
      </c>
      <c r="D31" s="3"/>
      <c r="E31" s="6">
        <f t="shared" si="0"/>
        <v>2.1585737635094526E-2</v>
      </c>
    </row>
    <row r="32" spans="2:5" ht="22.95" customHeight="1">
      <c r="B32" s="3" t="s">
        <v>23</v>
      </c>
      <c r="C32" s="25">
        <v>486666</v>
      </c>
      <c r="D32" s="3"/>
      <c r="E32" s="6">
        <f t="shared" si="0"/>
        <v>-4.7853867023761598E-4</v>
      </c>
    </row>
    <row r="33" spans="2:5" ht="22.95" customHeight="1">
      <c r="B33" s="3" t="s">
        <v>24</v>
      </c>
      <c r="C33" s="25">
        <v>492697</v>
      </c>
      <c r="D33" s="3"/>
      <c r="E33" s="6">
        <f t="shared" si="0"/>
        <v>1.2392482729428389E-2</v>
      </c>
    </row>
    <row r="34" spans="2:5" ht="22.95" customHeight="1">
      <c r="B34" s="3" t="s">
        <v>25</v>
      </c>
      <c r="C34" s="25">
        <v>491587</v>
      </c>
      <c r="D34" s="3"/>
      <c r="E34" s="6">
        <f t="shared" si="0"/>
        <v>-2.2529059442213395E-3</v>
      </c>
    </row>
    <row r="35" spans="2:5" ht="22.95" customHeight="1">
      <c r="B35" s="3" t="s">
        <v>26</v>
      </c>
      <c r="C35" s="25">
        <v>501828</v>
      </c>
      <c r="D35" s="3"/>
      <c r="E35" s="6">
        <f t="shared" si="0"/>
        <v>2.0832528118115423E-2</v>
      </c>
    </row>
    <row r="36" spans="2:5" ht="22.95" customHeight="1">
      <c r="B36" s="3" t="s">
        <v>27</v>
      </c>
      <c r="C36" s="25">
        <v>503410</v>
      </c>
      <c r="D36" s="3"/>
      <c r="E36" s="6">
        <f t="shared" si="0"/>
        <v>3.1524745530340237E-3</v>
      </c>
    </row>
    <row r="37" spans="2:5" ht="22.95" customHeight="1">
      <c r="B37" s="3" t="s">
        <v>28</v>
      </c>
      <c r="C37" s="25">
        <v>505603</v>
      </c>
      <c r="D37" s="3"/>
      <c r="E37" s="6">
        <f t="shared" si="0"/>
        <v>4.3562901015077315E-3</v>
      </c>
    </row>
    <row r="38" spans="2:5" ht="22.95" customHeight="1">
      <c r="B38" s="3" t="s">
        <v>29</v>
      </c>
      <c r="C38" s="25">
        <v>509913</v>
      </c>
      <c r="D38" s="3"/>
      <c r="E38" s="6">
        <f t="shared" si="0"/>
        <v>8.5244747361072903E-3</v>
      </c>
    </row>
    <row r="39" spans="2:5" ht="22.95" customHeight="1">
      <c r="B39" s="3" t="s">
        <v>30</v>
      </c>
      <c r="C39" s="25">
        <v>523621</v>
      </c>
      <c r="D39" s="3"/>
      <c r="E39" s="6">
        <f t="shared" si="0"/>
        <v>2.6883017299029532E-2</v>
      </c>
    </row>
    <row r="40" spans="2:5" ht="22.95" customHeight="1">
      <c r="B40" s="3" t="s">
        <v>31</v>
      </c>
      <c r="C40" s="25">
        <v>530914</v>
      </c>
      <c r="D40" s="3"/>
      <c r="E40" s="6">
        <f t="shared" si="0"/>
        <v>1.392801281843159E-2</v>
      </c>
    </row>
    <row r="41" spans="2:5" ht="22.95" customHeight="1">
      <c r="B41" s="3" t="s">
        <v>32</v>
      </c>
      <c r="C41" s="25">
        <v>538265</v>
      </c>
      <c r="D41" s="3"/>
      <c r="E41" s="6">
        <f t="shared" si="0"/>
        <v>1.3845933616367212E-2</v>
      </c>
    </row>
    <row r="42" spans="2:5" ht="22.95" customHeight="1">
      <c r="B42" s="3" t="s">
        <v>33</v>
      </c>
      <c r="C42" s="25">
        <v>545634</v>
      </c>
      <c r="D42" s="3"/>
      <c r="E42" s="6">
        <f t="shared" si="0"/>
        <v>1.3690282667459419E-2</v>
      </c>
    </row>
    <row r="43" spans="2:5" ht="22.95" customHeight="1">
      <c r="B43" s="3" t="s">
        <v>34</v>
      </c>
      <c r="C43" s="25">
        <v>547879</v>
      </c>
      <c r="D43" s="3"/>
      <c r="E43" s="6">
        <f t="shared" si="0"/>
        <v>4.1144796695220531E-3</v>
      </c>
    </row>
    <row r="44" spans="2:5" ht="22.95" customHeight="1">
      <c r="B44" s="3" t="s">
        <v>35</v>
      </c>
      <c r="C44" s="25">
        <v>553957</v>
      </c>
      <c r="D44" s="3"/>
      <c r="E44" s="6">
        <f t="shared" si="0"/>
        <v>1.1093690395141964E-2</v>
      </c>
    </row>
    <row r="45" spans="2:5" ht="22.95" customHeight="1">
      <c r="B45" s="3" t="s">
        <v>36</v>
      </c>
      <c r="C45" s="25">
        <v>561785</v>
      </c>
      <c r="D45" s="3"/>
      <c r="E45" s="6">
        <f t="shared" si="0"/>
        <v>1.4131060714098753E-2</v>
      </c>
    </row>
    <row r="46" spans="2:5" ht="22.95" customHeight="1">
      <c r="B46" s="3" t="s">
        <v>37</v>
      </c>
      <c r="C46" s="25">
        <v>565257</v>
      </c>
      <c r="D46" s="3"/>
      <c r="E46" s="6">
        <f t="shared" si="0"/>
        <v>6.1803002928166872E-3</v>
      </c>
    </row>
    <row r="47" spans="2:5" ht="22.95" customHeight="1">
      <c r="B47" s="3" t="s">
        <v>38</v>
      </c>
      <c r="C47" s="25">
        <v>565304</v>
      </c>
      <c r="D47" s="3"/>
      <c r="E47" s="6">
        <f t="shared" si="0"/>
        <v>8.3148019396572792E-5</v>
      </c>
    </row>
    <row r="48" spans="2:5" ht="22.95" customHeight="1">
      <c r="B48" s="3" t="s">
        <v>39</v>
      </c>
      <c r="C48" s="25">
        <v>571154</v>
      </c>
      <c r="D48" s="3"/>
      <c r="E48" s="6">
        <f t="shared" si="0"/>
        <v>1.0348414304515829E-2</v>
      </c>
    </row>
    <row r="49" spans="2:5" ht="22.95" customHeight="1">
      <c r="B49" s="3" t="s">
        <v>40</v>
      </c>
      <c r="C49" s="25">
        <v>572021</v>
      </c>
      <c r="D49" s="3"/>
      <c r="E49" s="6">
        <f t="shared" si="0"/>
        <v>1.5179793890964799E-3</v>
      </c>
    </row>
    <row r="50" spans="2:5" ht="22.95" customHeight="1">
      <c r="B50" s="3" t="s">
        <v>41</v>
      </c>
      <c r="C50" s="25">
        <v>569078</v>
      </c>
      <c r="D50" s="3"/>
      <c r="E50" s="6">
        <f t="shared" si="0"/>
        <v>-5.1449160083283374E-3</v>
      </c>
    </row>
    <row r="51" spans="2:5" ht="22.95" customHeight="1">
      <c r="B51" s="3" t="s">
        <v>42</v>
      </c>
      <c r="C51" s="25">
        <v>585694</v>
      </c>
      <c r="D51" s="3"/>
      <c r="E51" s="6">
        <f t="shared" si="0"/>
        <v>2.9198106410720515E-2</v>
      </c>
    </row>
    <row r="52" spans="2:5" ht="22.95" customHeight="1">
      <c r="B52" s="3" t="s">
        <v>43</v>
      </c>
      <c r="C52" s="25">
        <v>601880</v>
      </c>
      <c r="D52" s="3"/>
      <c r="E52" s="6">
        <f t="shared" si="0"/>
        <v>2.7635591281454097E-2</v>
      </c>
    </row>
    <row r="53" spans="2:5" ht="22.95" customHeight="1">
      <c r="B53" s="3" t="s">
        <v>44</v>
      </c>
      <c r="C53" s="25">
        <v>608458</v>
      </c>
      <c r="D53" s="3"/>
      <c r="E53" s="6">
        <f t="shared" si="0"/>
        <v>1.0929088854921165E-2</v>
      </c>
    </row>
    <row r="54" spans="2:5" ht="22.95" customHeight="1">
      <c r="B54" s="3" t="s">
        <v>45</v>
      </c>
      <c r="C54" s="25">
        <v>606422</v>
      </c>
      <c r="D54" s="3"/>
      <c r="E54" s="6">
        <f t="shared" si="0"/>
        <v>-3.3461635807237045E-3</v>
      </c>
    </row>
    <row r="55" spans="2:5" ht="22.95" customHeight="1">
      <c r="B55" s="3" t="s">
        <v>46</v>
      </c>
      <c r="C55" s="25">
        <v>623614</v>
      </c>
      <c r="D55" s="3"/>
      <c r="E55" s="6">
        <f t="shared" si="0"/>
        <v>2.8349894957636845E-2</v>
      </c>
    </row>
    <row r="56" spans="2:5" ht="22.95" customHeight="1">
      <c r="B56" s="3" t="s">
        <v>47</v>
      </c>
      <c r="C56" s="25">
        <v>625464</v>
      </c>
      <c r="D56" s="3"/>
      <c r="E56" s="6">
        <f t="shared" si="0"/>
        <v>2.9665786848915854E-3</v>
      </c>
    </row>
    <row r="57" spans="2:5" ht="22.95" customHeight="1">
      <c r="B57" s="3" t="s">
        <v>48</v>
      </c>
      <c r="C57" s="25">
        <v>640155</v>
      </c>
      <c r="D57" s="3"/>
      <c r="E57" s="6">
        <f t="shared" si="0"/>
        <v>2.3488162388243028E-2</v>
      </c>
    </row>
    <row r="58" spans="2:5" ht="22.95" customHeight="1">
      <c r="B58" s="3" t="s">
        <v>49</v>
      </c>
      <c r="C58" s="25">
        <v>656585</v>
      </c>
      <c r="D58" s="3"/>
      <c r="E58" s="6">
        <f t="shared" si="0"/>
        <v>2.5665659098187188E-2</v>
      </c>
    </row>
    <row r="59" spans="2:5" ht="22.95" customHeight="1">
      <c r="B59" s="3" t="s">
        <v>50</v>
      </c>
      <c r="C59" s="25">
        <v>662849</v>
      </c>
      <c r="D59" s="3"/>
      <c r="E59" s="6">
        <f t="shared" si="0"/>
        <v>9.5402727750406591E-3</v>
      </c>
    </row>
    <row r="60" spans="2:5" ht="22.95" customHeight="1">
      <c r="B60" s="3" t="s">
        <v>51</v>
      </c>
      <c r="C60" s="25">
        <v>665931</v>
      </c>
      <c r="D60" s="3"/>
      <c r="E60" s="6">
        <f t="shared" si="0"/>
        <v>4.649626083768732E-3</v>
      </c>
    </row>
    <row r="61" spans="2:5" ht="22.95" customHeight="1">
      <c r="B61" s="3" t="s">
        <v>52</v>
      </c>
      <c r="C61" s="25">
        <v>678214</v>
      </c>
      <c r="D61" s="3"/>
      <c r="E61" s="6">
        <f t="shared" si="0"/>
        <v>1.8444853896274482E-2</v>
      </c>
    </row>
    <row r="62" spans="2:5" ht="22.95" customHeight="1">
      <c r="B62" s="3" t="s">
        <v>53</v>
      </c>
      <c r="C62" s="25">
        <v>683827</v>
      </c>
      <c r="D62" s="3"/>
      <c r="E62" s="6">
        <f t="shared" si="0"/>
        <v>8.2761488261817728E-3</v>
      </c>
    </row>
    <row r="63" spans="2:5" ht="22.95" customHeight="1">
      <c r="B63" s="3" t="s">
        <v>54</v>
      </c>
      <c r="C63" s="25">
        <v>690841</v>
      </c>
      <c r="D63" s="3"/>
      <c r="E63" s="6">
        <f t="shared" si="0"/>
        <v>1.0256980201132748E-2</v>
      </c>
    </row>
    <row r="64" spans="2:5" ht="22.95" customHeight="1">
      <c r="B64" s="3" t="s">
        <v>55</v>
      </c>
      <c r="C64" s="25">
        <v>690974</v>
      </c>
      <c r="D64" s="3"/>
      <c r="E64" s="6">
        <f t="shared" si="0"/>
        <v>1.9251897325145428E-4</v>
      </c>
    </row>
    <row r="65" spans="2:5" ht="22.95" customHeight="1">
      <c r="B65" s="3" t="s">
        <v>56</v>
      </c>
      <c r="C65" s="25">
        <v>687374</v>
      </c>
      <c r="D65" s="3"/>
      <c r="E65" s="6">
        <f t="shared" si="0"/>
        <v>-5.2100368465383129E-3</v>
      </c>
    </row>
    <row r="66" spans="2:5" ht="22.95" customHeight="1">
      <c r="B66" s="3" t="s">
        <v>57</v>
      </c>
      <c r="C66" s="25">
        <v>683629</v>
      </c>
      <c r="D66" s="3"/>
      <c r="E66" s="6">
        <f t="shared" si="0"/>
        <v>-5.448271246803027E-3</v>
      </c>
    </row>
    <row r="67" spans="2:5" ht="22.95" customHeight="1">
      <c r="B67" s="3" t="s">
        <v>58</v>
      </c>
      <c r="C67" s="25">
        <v>692399</v>
      </c>
      <c r="D67" s="3"/>
      <c r="E67" s="6">
        <f t="shared" si="0"/>
        <v>1.2828595627160322E-2</v>
      </c>
    </row>
    <row r="68" spans="2:5" ht="22.95" customHeight="1">
      <c r="B68" s="3" t="s">
        <v>59</v>
      </c>
      <c r="C68" s="25">
        <v>705683</v>
      </c>
      <c r="D68" s="3"/>
      <c r="E68" s="6">
        <f t="shared" si="0"/>
        <v>1.9185469649725118E-2</v>
      </c>
    </row>
    <row r="69" spans="2:5" ht="22.95" customHeight="1">
      <c r="B69" s="3" t="s">
        <v>60</v>
      </c>
      <c r="C69" s="25">
        <v>713849</v>
      </c>
      <c r="D69" s="3"/>
      <c r="E69" s="6">
        <f t="shared" si="0"/>
        <v>1.1571768060163024E-2</v>
      </c>
    </row>
    <row r="70" spans="2:5" ht="22.95" customHeight="1">
      <c r="B70" s="3" t="s">
        <v>61</v>
      </c>
      <c r="C70" s="25">
        <v>726289</v>
      </c>
      <c r="D70" s="3"/>
      <c r="E70" s="6">
        <f t="shared" si="0"/>
        <v>1.7426654656657048E-2</v>
      </c>
    </row>
    <row r="71" spans="2:5" ht="22.95" customHeight="1">
      <c r="B71" s="3" t="s">
        <v>62</v>
      </c>
      <c r="C71" s="25">
        <v>741951</v>
      </c>
      <c r="D71" s="3"/>
      <c r="E71" s="6">
        <f t="shared" si="0"/>
        <v>2.1564418571670574E-2</v>
      </c>
    </row>
    <row r="72" spans="2:5" ht="22.95" customHeight="1">
      <c r="B72" s="3" t="s">
        <v>63</v>
      </c>
      <c r="C72" s="25">
        <v>745377</v>
      </c>
      <c r="D72" s="3"/>
      <c r="E72" s="6">
        <f t="shared" si="0"/>
        <v>4.6175556067717949E-3</v>
      </c>
    </row>
    <row r="73" spans="2:5" ht="22.95" customHeight="1">
      <c r="B73" s="3" t="s">
        <v>64</v>
      </c>
      <c r="C73" s="25">
        <v>746581</v>
      </c>
      <c r="D73" s="3"/>
      <c r="E73" s="6">
        <f t="shared" si="0"/>
        <v>1.61528998077487E-3</v>
      </c>
    </row>
    <row r="74" spans="2:5" ht="22.95" customHeight="1">
      <c r="B74" s="3" t="s">
        <v>65</v>
      </c>
      <c r="C74" s="25">
        <v>758032</v>
      </c>
      <c r="D74" s="3"/>
      <c r="E74" s="6">
        <f t="shared" si="0"/>
        <v>1.5337920466767851E-2</v>
      </c>
    </row>
    <row r="75" spans="2:5" ht="22.95" customHeight="1">
      <c r="B75" s="3" t="s">
        <v>66</v>
      </c>
      <c r="C75" s="25">
        <v>761900</v>
      </c>
      <c r="D75" s="3"/>
      <c r="E75" s="6">
        <f t="shared" si="0"/>
        <v>5.1026869578065792E-3</v>
      </c>
    </row>
    <row r="76" spans="2:5" ht="22.95" customHeight="1">
      <c r="B76" s="3" t="s">
        <v>67</v>
      </c>
      <c r="C76" s="25">
        <v>766378</v>
      </c>
      <c r="D76" s="3"/>
      <c r="E76" s="6">
        <f t="shared" ref="E76:E139" si="1">C76/C75-1</f>
        <v>5.87741173382339E-3</v>
      </c>
    </row>
    <row r="77" spans="2:5" ht="22.95" customHeight="1">
      <c r="B77" s="3" t="s">
        <v>68</v>
      </c>
      <c r="C77" s="25">
        <v>778522</v>
      </c>
      <c r="D77" s="3"/>
      <c r="E77" s="6">
        <f t="shared" si="1"/>
        <v>1.5845966350808594E-2</v>
      </c>
    </row>
    <row r="78" spans="2:5" ht="22.95" customHeight="1">
      <c r="B78" s="3" t="s">
        <v>69</v>
      </c>
      <c r="C78" s="25">
        <v>785245</v>
      </c>
      <c r="D78" s="3"/>
      <c r="E78" s="6">
        <f t="shared" si="1"/>
        <v>8.6355941129474534E-3</v>
      </c>
    </row>
    <row r="79" spans="2:5" ht="22.95" customHeight="1">
      <c r="B79" s="3" t="s">
        <v>70</v>
      </c>
      <c r="C79" s="25">
        <v>790590</v>
      </c>
      <c r="D79" s="3"/>
      <c r="E79" s="6">
        <f t="shared" si="1"/>
        <v>6.8067927844175369E-3</v>
      </c>
    </row>
    <row r="80" spans="2:5" ht="22.95" customHeight="1">
      <c r="B80" s="3" t="s">
        <v>71</v>
      </c>
      <c r="C80" s="25">
        <v>797965</v>
      </c>
      <c r="D80" s="3"/>
      <c r="E80" s="6">
        <f t="shared" si="1"/>
        <v>9.3284762013179368E-3</v>
      </c>
    </row>
    <row r="81" spans="2:5" ht="22.95" customHeight="1">
      <c r="B81" s="3" t="s">
        <v>72</v>
      </c>
      <c r="C81" s="25">
        <v>805531</v>
      </c>
      <c r="D81" s="3"/>
      <c r="E81" s="6">
        <f t="shared" si="1"/>
        <v>9.4816188679953672E-3</v>
      </c>
    </row>
    <row r="82" spans="2:5" ht="22.95" customHeight="1">
      <c r="B82" s="3" t="s">
        <v>73</v>
      </c>
      <c r="C82" s="25">
        <v>811958</v>
      </c>
      <c r="D82" s="3"/>
      <c r="E82" s="6">
        <f t="shared" si="1"/>
        <v>7.9785880369593887E-3</v>
      </c>
    </row>
    <row r="83" spans="2:5" ht="22.95" customHeight="1">
      <c r="B83" s="3" t="s">
        <v>74</v>
      </c>
      <c r="C83" s="25">
        <v>822729</v>
      </c>
      <c r="D83" s="3"/>
      <c r="E83" s="6">
        <f t="shared" si="1"/>
        <v>1.3265464469837118E-2</v>
      </c>
    </row>
    <row r="84" spans="2:5" ht="22.95" customHeight="1">
      <c r="B84" s="3" t="s">
        <v>75</v>
      </c>
      <c r="C84" s="25">
        <v>828760</v>
      </c>
      <c r="D84" s="3"/>
      <c r="E84" s="6">
        <f t="shared" si="1"/>
        <v>7.3304818476072064E-3</v>
      </c>
    </row>
    <row r="85" spans="2:5" ht="22.95" customHeight="1">
      <c r="B85" s="3" t="s">
        <v>76</v>
      </c>
      <c r="C85" s="25">
        <v>834320</v>
      </c>
      <c r="D85" s="3"/>
      <c r="E85" s="6">
        <f t="shared" si="1"/>
        <v>6.7088179931464875E-3</v>
      </c>
    </row>
    <row r="86" spans="2:5" ht="22.95" customHeight="1">
      <c r="B86" s="3" t="s">
        <v>77</v>
      </c>
      <c r="C86" s="25">
        <v>840113</v>
      </c>
      <c r="D86" s="3"/>
      <c r="E86" s="6">
        <f t="shared" si="1"/>
        <v>6.9433790392174899E-3</v>
      </c>
    </row>
    <row r="87" spans="2:5" ht="22.95" customHeight="1">
      <c r="B87" s="3" t="s">
        <v>78</v>
      </c>
      <c r="C87" s="25">
        <v>839746</v>
      </c>
      <c r="D87" s="3"/>
      <c r="E87" s="6">
        <f t="shared" si="1"/>
        <v>-4.3684599571724991E-4</v>
      </c>
    </row>
    <row r="88" spans="2:5" ht="22.95" customHeight="1">
      <c r="B88" s="3" t="s">
        <v>79</v>
      </c>
      <c r="C88" s="25">
        <v>839048</v>
      </c>
      <c r="D88" s="3"/>
      <c r="E88" s="6">
        <f t="shared" si="1"/>
        <v>-8.3120372112521768E-4</v>
      </c>
    </row>
    <row r="89" spans="2:5" ht="22.95" customHeight="1">
      <c r="B89" s="3" t="s">
        <v>80</v>
      </c>
      <c r="C89" s="25">
        <v>850657</v>
      </c>
      <c r="D89" s="3"/>
      <c r="E89" s="6">
        <f t="shared" si="1"/>
        <v>1.3835918803215108E-2</v>
      </c>
    </row>
    <row r="90" spans="2:5" ht="22.95" customHeight="1">
      <c r="B90" s="3" t="s">
        <v>81</v>
      </c>
      <c r="C90" s="25">
        <v>868983</v>
      </c>
      <c r="D90" s="3"/>
      <c r="E90" s="6">
        <f t="shared" si="1"/>
        <v>2.1543348259051465E-2</v>
      </c>
    </row>
    <row r="91" spans="2:5" ht="22.95" customHeight="1">
      <c r="B91" s="3" t="s">
        <v>82</v>
      </c>
      <c r="C91" s="25">
        <v>878750</v>
      </c>
      <c r="D91" s="3"/>
      <c r="E91" s="6">
        <f t="shared" si="1"/>
        <v>1.1239575457747675E-2</v>
      </c>
    </row>
    <row r="92" spans="2:5" ht="22.95" customHeight="1">
      <c r="B92" s="3" t="s">
        <v>83</v>
      </c>
      <c r="C92" s="25">
        <v>870861</v>
      </c>
      <c r="D92" s="3"/>
      <c r="E92" s="6">
        <f t="shared" si="1"/>
        <v>-8.9775248933143814E-3</v>
      </c>
    </row>
    <row r="93" spans="2:5" ht="22.95" customHeight="1">
      <c r="B93" s="3" t="s">
        <v>84</v>
      </c>
      <c r="C93" s="25">
        <v>866874</v>
      </c>
      <c r="D93" s="3"/>
      <c r="E93" s="6">
        <f t="shared" si="1"/>
        <v>-4.5782277539124783E-3</v>
      </c>
    </row>
    <row r="94" spans="2:5" ht="22.95" customHeight="1">
      <c r="B94" s="3" t="s">
        <v>85</v>
      </c>
      <c r="C94" s="25">
        <v>856676</v>
      </c>
      <c r="D94" s="3"/>
      <c r="E94" s="6">
        <f t="shared" si="1"/>
        <v>-1.1764108740139889E-2</v>
      </c>
    </row>
    <row r="95" spans="2:5" ht="22.95" customHeight="1">
      <c r="B95" s="3" t="s">
        <v>86</v>
      </c>
      <c r="C95" s="25">
        <v>846763</v>
      </c>
      <c r="D95" s="3"/>
      <c r="E95" s="6">
        <f t="shared" si="1"/>
        <v>-1.1571469260257095E-2</v>
      </c>
    </row>
    <row r="96" spans="2:5" ht="22.95" customHeight="1">
      <c r="B96" s="3" t="s">
        <v>87</v>
      </c>
      <c r="C96" s="25">
        <v>839341</v>
      </c>
      <c r="D96" s="3"/>
      <c r="E96" s="6">
        <f t="shared" si="1"/>
        <v>-8.7651444382902399E-3</v>
      </c>
    </row>
    <row r="97" spans="2:5" ht="22.95" customHeight="1">
      <c r="B97" s="3" t="s">
        <v>88</v>
      </c>
      <c r="C97" s="25">
        <v>831597</v>
      </c>
      <c r="D97" s="3"/>
      <c r="E97" s="6">
        <f t="shared" si="1"/>
        <v>-9.2262858599782005E-3</v>
      </c>
    </row>
    <row r="98" spans="2:5" ht="22.95" customHeight="1">
      <c r="B98" s="3" t="s">
        <v>89</v>
      </c>
      <c r="C98" s="25">
        <v>845508</v>
      </c>
      <c r="D98" s="3"/>
      <c r="E98" s="6">
        <f t="shared" si="1"/>
        <v>1.6728054574511431E-2</v>
      </c>
    </row>
    <row r="99" spans="2:5" ht="22.95" customHeight="1">
      <c r="B99" s="3" t="s">
        <v>90</v>
      </c>
      <c r="C99" s="25">
        <v>862126</v>
      </c>
      <c r="D99" s="3"/>
      <c r="E99" s="6">
        <f t="shared" si="1"/>
        <v>1.9654456255884023E-2</v>
      </c>
    </row>
    <row r="100" spans="2:5" ht="22.95" customHeight="1">
      <c r="B100" s="3" t="s">
        <v>91</v>
      </c>
      <c r="C100" s="25">
        <v>871768</v>
      </c>
      <c r="D100" s="3"/>
      <c r="E100" s="6">
        <f t="shared" si="1"/>
        <v>1.1183980067878796E-2</v>
      </c>
    </row>
    <row r="101" spans="2:5" ht="22.95" customHeight="1">
      <c r="B101" s="3" t="s">
        <v>92</v>
      </c>
      <c r="C101" s="25">
        <v>882754</v>
      </c>
      <c r="D101" s="3"/>
      <c r="E101" s="6">
        <f t="shared" si="1"/>
        <v>1.2601976672692805E-2</v>
      </c>
    </row>
    <row r="102" spans="2:5" ht="22.95" customHeight="1">
      <c r="B102" s="3" t="s">
        <v>93</v>
      </c>
      <c r="C102" s="25">
        <v>897940</v>
      </c>
      <c r="D102" s="3"/>
      <c r="E102" s="6">
        <f t="shared" si="1"/>
        <v>1.7202980671851886E-2</v>
      </c>
    </row>
    <row r="103" spans="2:5" ht="22.95" customHeight="1">
      <c r="B103" s="3" t="s">
        <v>94</v>
      </c>
      <c r="C103" s="25">
        <v>915503</v>
      </c>
      <c r="D103" s="3"/>
      <c r="E103" s="6">
        <f t="shared" si="1"/>
        <v>1.9559213310466284E-2</v>
      </c>
    </row>
    <row r="104" spans="2:5" ht="22.95" customHeight="1">
      <c r="B104" s="3" t="s">
        <v>95</v>
      </c>
      <c r="C104" s="25">
        <v>919353</v>
      </c>
      <c r="D104" s="3"/>
      <c r="E104" s="6">
        <f t="shared" si="1"/>
        <v>4.2053384860563092E-3</v>
      </c>
    </row>
    <row r="105" spans="2:5" ht="22.95" customHeight="1">
      <c r="B105" s="3" t="s">
        <v>96</v>
      </c>
      <c r="C105" s="25">
        <v>933920</v>
      </c>
      <c r="D105" s="3"/>
      <c r="E105" s="6">
        <f t="shared" si="1"/>
        <v>1.5844838707221198E-2</v>
      </c>
    </row>
    <row r="106" spans="2:5" ht="22.95" customHeight="1">
      <c r="B106" s="3" t="s">
        <v>97</v>
      </c>
      <c r="C106" s="25">
        <v>948110</v>
      </c>
      <c r="D106" s="3"/>
      <c r="E106" s="6">
        <f t="shared" si="1"/>
        <v>1.5194020901147853E-2</v>
      </c>
    </row>
    <row r="107" spans="2:5" ht="22.95" customHeight="1">
      <c r="B107" s="3" t="s">
        <v>98</v>
      </c>
      <c r="C107" s="25">
        <v>951132</v>
      </c>
      <c r="D107" s="3"/>
      <c r="E107" s="6">
        <f t="shared" si="1"/>
        <v>3.1873938678002034E-3</v>
      </c>
    </row>
    <row r="108" spans="2:5" ht="22.95" customHeight="1">
      <c r="B108" s="3" t="s">
        <v>99</v>
      </c>
      <c r="C108" s="25">
        <v>963199</v>
      </c>
      <c r="D108" s="3"/>
      <c r="E108" s="6">
        <f t="shared" si="1"/>
        <v>1.2686987715690323E-2</v>
      </c>
    </row>
    <row r="109" spans="2:5" ht="22.95" customHeight="1">
      <c r="B109" s="3" t="s">
        <v>100</v>
      </c>
      <c r="C109" s="25">
        <v>977982</v>
      </c>
      <c r="D109" s="3"/>
      <c r="E109" s="6">
        <f t="shared" si="1"/>
        <v>1.5347814937515469E-2</v>
      </c>
    </row>
    <row r="110" spans="2:5" ht="22.95" customHeight="1">
      <c r="B110" s="3" t="s">
        <v>101</v>
      </c>
      <c r="C110" s="25">
        <v>977688</v>
      </c>
      <c r="D110" s="3"/>
      <c r="E110" s="6">
        <f t="shared" si="1"/>
        <v>-3.0061902979805488E-4</v>
      </c>
    </row>
    <row r="111" spans="2:5" ht="22.95" customHeight="1">
      <c r="B111" s="3" t="s">
        <v>102</v>
      </c>
      <c r="C111" s="25">
        <v>983246</v>
      </c>
      <c r="D111" s="3"/>
      <c r="E111" s="6">
        <f t="shared" si="1"/>
        <v>5.6848401535050108E-3</v>
      </c>
    </row>
    <row r="112" spans="2:5" ht="22.95" customHeight="1">
      <c r="B112" s="3" t="s">
        <v>103</v>
      </c>
      <c r="C112" s="25">
        <v>984487</v>
      </c>
      <c r="D112" s="3"/>
      <c r="E112" s="6">
        <f t="shared" si="1"/>
        <v>1.2621459939832214E-3</v>
      </c>
    </row>
    <row r="113" spans="2:5" ht="22.95" customHeight="1">
      <c r="B113" s="3" t="s">
        <v>104</v>
      </c>
      <c r="C113" s="25">
        <v>977378</v>
      </c>
      <c r="D113" s="3"/>
      <c r="E113" s="6">
        <f t="shared" si="1"/>
        <v>-7.2210196782689362E-3</v>
      </c>
    </row>
    <row r="114" spans="2:5" ht="22.95" customHeight="1">
      <c r="B114" s="3" t="s">
        <v>105</v>
      </c>
      <c r="C114" s="25">
        <v>999928</v>
      </c>
      <c r="D114" s="3"/>
      <c r="E114" s="6">
        <f t="shared" si="1"/>
        <v>2.3071933274536605E-2</v>
      </c>
    </row>
    <row r="115" spans="2:5" ht="22.95" customHeight="1">
      <c r="B115" s="3" t="s">
        <v>106</v>
      </c>
      <c r="C115" s="25">
        <v>1012843</v>
      </c>
      <c r="D115" s="3"/>
      <c r="E115" s="6">
        <f t="shared" si="1"/>
        <v>1.2915929946956117E-2</v>
      </c>
    </row>
    <row r="116" spans="2:5" ht="22.95" customHeight="1">
      <c r="B116" s="3" t="s">
        <v>107</v>
      </c>
      <c r="C116" s="25">
        <v>1028259</v>
      </c>
      <c r="D116" s="3"/>
      <c r="E116" s="6">
        <f t="shared" si="1"/>
        <v>1.522052282535391E-2</v>
      </c>
    </row>
    <row r="117" spans="2:5" ht="22.95" customHeight="1">
      <c r="B117" s="3" t="s">
        <v>108</v>
      </c>
      <c r="C117" s="25">
        <v>1041543</v>
      </c>
      <c r="D117" s="3"/>
      <c r="E117" s="6">
        <f t="shared" si="1"/>
        <v>1.2918924123202391E-2</v>
      </c>
    </row>
    <row r="118" spans="2:5" ht="22.95" customHeight="1">
      <c r="B118" s="3" t="s">
        <v>109</v>
      </c>
      <c r="C118" s="25">
        <v>1056728</v>
      </c>
      <c r="D118" s="3"/>
      <c r="E118" s="6">
        <f t="shared" si="1"/>
        <v>1.4579330858159434E-2</v>
      </c>
    </row>
    <row r="119" spans="2:5" ht="22.95" customHeight="1">
      <c r="B119" s="3" t="s">
        <v>110</v>
      </c>
      <c r="C119" s="25">
        <v>1066087</v>
      </c>
      <c r="D119" s="3"/>
      <c r="E119" s="6">
        <f t="shared" si="1"/>
        <v>8.8565837187999374E-3</v>
      </c>
    </row>
    <row r="120" spans="2:5" ht="22.95" customHeight="1">
      <c r="B120" s="3" t="s">
        <v>111</v>
      </c>
      <c r="C120" s="25">
        <v>1066184</v>
      </c>
      <c r="D120" s="3"/>
      <c r="E120" s="6">
        <f t="shared" si="1"/>
        <v>9.0986945718407597E-5</v>
      </c>
    </row>
    <row r="121" spans="2:5" ht="22.95" customHeight="1">
      <c r="B121" s="3" t="s">
        <v>112</v>
      </c>
      <c r="C121" s="25">
        <v>1073620</v>
      </c>
      <c r="D121" s="3"/>
      <c r="E121" s="6">
        <f t="shared" si="1"/>
        <v>6.9744059186782614E-3</v>
      </c>
    </row>
    <row r="122" spans="2:5" ht="22.95" customHeight="1">
      <c r="B122" s="3" t="s">
        <v>113</v>
      </c>
      <c r="C122" s="25">
        <v>1085867</v>
      </c>
      <c r="D122" s="3"/>
      <c r="E122" s="6">
        <f t="shared" si="1"/>
        <v>1.1407201803245171E-2</v>
      </c>
    </row>
    <row r="123" spans="2:5" ht="22.95" customHeight="1">
      <c r="B123" s="3" t="s">
        <v>114</v>
      </c>
      <c r="C123" s="25">
        <v>1090017</v>
      </c>
      <c r="D123" s="3"/>
      <c r="E123" s="6">
        <f t="shared" si="1"/>
        <v>3.8218308503712439E-3</v>
      </c>
    </row>
    <row r="124" spans="2:5" ht="22.95" customHeight="1">
      <c r="B124" s="3" t="s">
        <v>115</v>
      </c>
      <c r="C124" s="25">
        <v>1093917</v>
      </c>
      <c r="D124" s="3"/>
      <c r="E124" s="6">
        <f t="shared" si="1"/>
        <v>3.5779258488628507E-3</v>
      </c>
    </row>
    <row r="125" spans="2:5" ht="22.95" customHeight="1">
      <c r="B125" s="3" t="s">
        <v>116</v>
      </c>
      <c r="C125" s="25">
        <v>1091582</v>
      </c>
      <c r="D125" s="3"/>
      <c r="E125" s="6">
        <f t="shared" si="1"/>
        <v>-2.1345312304316133E-3</v>
      </c>
    </row>
    <row r="126" spans="2:5" ht="22.95" customHeight="1">
      <c r="B126" s="3" t="s">
        <v>117</v>
      </c>
      <c r="C126" s="25">
        <v>1101873</v>
      </c>
      <c r="D126" s="3"/>
      <c r="E126" s="6">
        <f t="shared" si="1"/>
        <v>9.4276014078649162E-3</v>
      </c>
    </row>
    <row r="127" spans="2:5" ht="22.95" customHeight="1">
      <c r="B127" s="3" t="s">
        <v>118</v>
      </c>
      <c r="C127" s="25">
        <v>1097310</v>
      </c>
      <c r="D127" s="3"/>
      <c r="E127" s="6">
        <f t="shared" si="1"/>
        <v>-4.141130602165588E-3</v>
      </c>
    </row>
    <row r="128" spans="2:5" ht="22.95" customHeight="1">
      <c r="B128" s="3" t="s">
        <v>119</v>
      </c>
      <c r="C128" s="25">
        <v>1089546</v>
      </c>
      <c r="D128" s="3"/>
      <c r="E128" s="6">
        <f t="shared" si="1"/>
        <v>-7.075484594143866E-3</v>
      </c>
    </row>
    <row r="129" spans="2:5" ht="22.95" customHeight="1">
      <c r="B129" s="3" t="s">
        <v>120</v>
      </c>
      <c r="C129" s="25">
        <v>1079836</v>
      </c>
      <c r="D129" s="3"/>
      <c r="E129" s="6">
        <f t="shared" si="1"/>
        <v>-8.9119688383969553E-3</v>
      </c>
    </row>
    <row r="130" spans="2:5" ht="22.95" customHeight="1">
      <c r="B130" s="3" t="s">
        <v>121</v>
      </c>
      <c r="C130" s="25">
        <v>1064426</v>
      </c>
      <c r="D130" s="3"/>
      <c r="E130" s="6">
        <f t="shared" si="1"/>
        <v>-1.4270685548546269E-2</v>
      </c>
    </row>
    <row r="131" spans="2:5" ht="22.95" customHeight="1">
      <c r="B131" s="3" t="s">
        <v>122</v>
      </c>
      <c r="C131" s="25">
        <v>1069389</v>
      </c>
      <c r="D131" s="3"/>
      <c r="E131" s="6">
        <f t="shared" si="1"/>
        <v>4.662606888595322E-3</v>
      </c>
    </row>
    <row r="132" spans="2:5" ht="22.95" customHeight="1">
      <c r="B132" s="3" t="s">
        <v>123</v>
      </c>
      <c r="C132" s="25">
        <v>1070821</v>
      </c>
      <c r="D132" s="3"/>
      <c r="E132" s="6">
        <f t="shared" si="1"/>
        <v>1.3390824106100929E-3</v>
      </c>
    </row>
    <row r="133" spans="2:5" ht="22.95" customHeight="1">
      <c r="B133" s="3" t="s">
        <v>124</v>
      </c>
      <c r="C133" s="25">
        <v>1072797</v>
      </c>
      <c r="D133" s="3"/>
      <c r="E133" s="6">
        <f t="shared" si="1"/>
        <v>1.8453130822051467E-3</v>
      </c>
    </row>
    <row r="134" spans="2:5" ht="22.95" customHeight="1">
      <c r="B134" s="3" t="s">
        <v>125</v>
      </c>
      <c r="C134" s="25">
        <v>1073579</v>
      </c>
      <c r="D134" s="3"/>
      <c r="E134" s="6">
        <f t="shared" si="1"/>
        <v>7.2893567002885185E-4</v>
      </c>
    </row>
    <row r="135" spans="2:5" ht="22.95" customHeight="1">
      <c r="B135" s="3" t="s">
        <v>126</v>
      </c>
      <c r="C135" s="25">
        <v>1074890</v>
      </c>
      <c r="D135" s="3"/>
      <c r="E135" s="6">
        <f t="shared" si="1"/>
        <v>1.2211490724016727E-3</v>
      </c>
    </row>
    <row r="136" spans="2:5" ht="22.95" customHeight="1">
      <c r="B136" s="3" t="s">
        <v>127</v>
      </c>
      <c r="C136" s="25">
        <v>1080662</v>
      </c>
      <c r="D136" s="3"/>
      <c r="E136" s="6">
        <f t="shared" si="1"/>
        <v>5.3698517987887939E-3</v>
      </c>
    </row>
    <row r="137" spans="2:5" ht="22.95" customHeight="1">
      <c r="B137" s="3" t="s">
        <v>128</v>
      </c>
      <c r="C137" s="25">
        <v>1086810</v>
      </c>
      <c r="D137" s="3"/>
      <c r="E137" s="6">
        <f t="shared" si="1"/>
        <v>5.6891053817011983E-3</v>
      </c>
    </row>
    <row r="138" spans="2:5" ht="22.95" customHeight="1">
      <c r="B138" s="3" t="s">
        <v>129</v>
      </c>
      <c r="C138" s="25">
        <v>1093765</v>
      </c>
      <c r="D138" s="3"/>
      <c r="E138" s="6">
        <f t="shared" si="1"/>
        <v>6.3994626475649685E-3</v>
      </c>
    </row>
    <row r="139" spans="2:5" ht="22.95" customHeight="1">
      <c r="B139" s="3" t="s">
        <v>130</v>
      </c>
      <c r="C139" s="25">
        <v>1103723</v>
      </c>
      <c r="D139" s="3"/>
      <c r="E139" s="6">
        <f t="shared" si="1"/>
        <v>9.1043322834429841E-3</v>
      </c>
    </row>
    <row r="140" spans="2:5" ht="22.95" customHeight="1">
      <c r="B140" s="3" t="s">
        <v>131</v>
      </c>
      <c r="C140" s="25">
        <v>1114242</v>
      </c>
      <c r="D140" s="3"/>
      <c r="E140" s="6">
        <f t="shared" ref="E140:E203" si="2">C140/C139-1</f>
        <v>9.5304709605581461E-3</v>
      </c>
    </row>
    <row r="141" spans="2:5" ht="22.95" customHeight="1">
      <c r="B141" s="3" t="s">
        <v>132</v>
      </c>
      <c r="C141" s="25">
        <v>1119052</v>
      </c>
      <c r="D141" s="3"/>
      <c r="E141" s="6">
        <f t="shared" si="2"/>
        <v>4.3168360194643096E-3</v>
      </c>
    </row>
    <row r="142" spans="2:5" ht="22.95" customHeight="1">
      <c r="B142" s="3" t="s">
        <v>133</v>
      </c>
      <c r="C142" s="25">
        <v>1135542</v>
      </c>
      <c r="D142" s="3"/>
      <c r="E142" s="6">
        <f t="shared" si="2"/>
        <v>1.4735686992204178E-2</v>
      </c>
    </row>
    <row r="143" spans="2:5" ht="22.95" customHeight="1">
      <c r="B143" s="3" t="s">
        <v>134</v>
      </c>
      <c r="C143" s="25">
        <v>1152136</v>
      </c>
      <c r="D143" s="3"/>
      <c r="E143" s="6">
        <f t="shared" si="2"/>
        <v>1.4613285990302538E-2</v>
      </c>
    </row>
    <row r="144" spans="2:5" ht="22.95" customHeight="1">
      <c r="B144" s="3" t="s">
        <v>135</v>
      </c>
      <c r="C144" s="25">
        <v>1166865</v>
      </c>
      <c r="D144" s="3"/>
      <c r="E144" s="6">
        <f t="shared" si="2"/>
        <v>1.2784081045987605E-2</v>
      </c>
    </row>
    <row r="145" spans="2:5" ht="22.95" customHeight="1">
      <c r="B145" s="3" t="s">
        <v>136</v>
      </c>
      <c r="C145" s="25">
        <v>1175379</v>
      </c>
      <c r="D145" s="3"/>
      <c r="E145" s="6">
        <f t="shared" si="2"/>
        <v>7.2964738851537536E-3</v>
      </c>
    </row>
    <row r="146" spans="2:5" ht="22.95" customHeight="1">
      <c r="B146" s="3" t="s">
        <v>137</v>
      </c>
      <c r="C146" s="25">
        <v>1186304</v>
      </c>
      <c r="D146" s="3"/>
      <c r="E146" s="6">
        <f t="shared" si="2"/>
        <v>9.2948742490719383E-3</v>
      </c>
    </row>
    <row r="147" spans="2:5" ht="22.95" customHeight="1">
      <c r="B147" s="3" t="s">
        <v>138</v>
      </c>
      <c r="C147" s="25">
        <v>1186783</v>
      </c>
      <c r="D147" s="3"/>
      <c r="E147" s="6">
        <f t="shared" si="2"/>
        <v>4.0377508631861403E-4</v>
      </c>
    </row>
    <row r="148" spans="2:5" ht="22.95" customHeight="1">
      <c r="B148" s="3" t="s">
        <v>139</v>
      </c>
      <c r="C148" s="25">
        <v>1188347</v>
      </c>
      <c r="D148" s="3"/>
      <c r="E148" s="6">
        <f t="shared" si="2"/>
        <v>1.3178483345313019E-3</v>
      </c>
    </row>
    <row r="149" spans="2:5" ht="22.95" customHeight="1">
      <c r="B149" s="3" t="s">
        <v>140</v>
      </c>
      <c r="C149" s="25">
        <v>1193217</v>
      </c>
      <c r="D149" s="3"/>
      <c r="E149" s="6">
        <f t="shared" si="2"/>
        <v>4.098129586728394E-3</v>
      </c>
    </row>
    <row r="150" spans="2:5" ht="22.95" customHeight="1">
      <c r="B150" s="3" t="s">
        <v>141</v>
      </c>
      <c r="C150" s="25">
        <v>1194038</v>
      </c>
      <c r="D150" s="3"/>
      <c r="E150" s="6">
        <f t="shared" si="2"/>
        <v>6.8805590265652583E-4</v>
      </c>
    </row>
    <row r="151" spans="2:5" ht="22.95" customHeight="1">
      <c r="B151" s="3" t="s">
        <v>142</v>
      </c>
      <c r="C151" s="25">
        <v>1202352</v>
      </c>
      <c r="D151" s="3"/>
      <c r="E151" s="6">
        <f t="shared" si="2"/>
        <v>6.9629274780198536E-3</v>
      </c>
    </row>
    <row r="152" spans="2:5" ht="22.95" customHeight="1">
      <c r="B152" s="3" t="s">
        <v>143</v>
      </c>
      <c r="C152" s="25">
        <v>1212740</v>
      </c>
      <c r="D152" s="3"/>
      <c r="E152" s="6">
        <f t="shared" si="2"/>
        <v>8.6397327903975363E-3</v>
      </c>
    </row>
    <row r="153" spans="2:5" ht="22.95" customHeight="1">
      <c r="B153" s="3" t="s">
        <v>144</v>
      </c>
      <c r="C153" s="25">
        <v>1222507</v>
      </c>
      <c r="D153" s="3"/>
      <c r="E153" s="6">
        <f t="shared" si="2"/>
        <v>8.0536636047296994E-3</v>
      </c>
    </row>
    <row r="154" spans="2:5" ht="22.95" customHeight="1">
      <c r="B154" s="3" t="s">
        <v>145</v>
      </c>
      <c r="C154" s="25">
        <v>1238634</v>
      </c>
      <c r="D154" s="3"/>
      <c r="E154" s="6">
        <f t="shared" si="2"/>
        <v>1.3191744505348435E-2</v>
      </c>
    </row>
    <row r="155" spans="2:5" ht="22.95" customHeight="1">
      <c r="B155" s="3" t="s">
        <v>146</v>
      </c>
      <c r="C155" s="25">
        <v>1252626</v>
      </c>
      <c r="D155" s="3"/>
      <c r="E155" s="6">
        <f t="shared" si="2"/>
        <v>1.1296315134252666E-2</v>
      </c>
    </row>
    <row r="156" spans="2:5" ht="22.95" customHeight="1">
      <c r="B156" s="3" t="s">
        <v>147</v>
      </c>
      <c r="C156" s="25">
        <v>1267450</v>
      </c>
      <c r="D156" s="3"/>
      <c r="E156" s="6">
        <f t="shared" si="2"/>
        <v>1.1834338421843338E-2</v>
      </c>
    </row>
    <row r="157" spans="2:5" ht="22.95" customHeight="1">
      <c r="B157" s="3" t="s">
        <v>148</v>
      </c>
      <c r="C157" s="25">
        <v>1279723</v>
      </c>
      <c r="D157" s="3"/>
      <c r="E157" s="6">
        <f t="shared" si="2"/>
        <v>9.6832222178389049E-3</v>
      </c>
    </row>
    <row r="158" spans="2:5" ht="22.95" customHeight="1">
      <c r="B158" s="3" t="s">
        <v>149</v>
      </c>
      <c r="C158" s="25">
        <v>1297798</v>
      </c>
      <c r="D158" s="3"/>
      <c r="E158" s="6">
        <f t="shared" si="2"/>
        <v>1.4124150304401839E-2</v>
      </c>
    </row>
    <row r="159" spans="2:5" ht="22.95" customHeight="1">
      <c r="B159" s="3" t="s">
        <v>150</v>
      </c>
      <c r="C159" s="25">
        <v>1298491</v>
      </c>
      <c r="D159" s="3"/>
      <c r="E159" s="6">
        <f t="shared" si="2"/>
        <v>5.3398140542681993E-4</v>
      </c>
    </row>
    <row r="160" spans="2:5" ht="22.95" customHeight="1">
      <c r="B160" s="3" t="s">
        <v>151</v>
      </c>
      <c r="C160" s="25">
        <v>1310310</v>
      </c>
      <c r="D160" s="3"/>
      <c r="E160" s="6">
        <f t="shared" si="2"/>
        <v>9.1021039036851548E-3</v>
      </c>
    </row>
    <row r="161" spans="2:5" ht="22.95" customHeight="1">
      <c r="B161" s="3" t="s">
        <v>152</v>
      </c>
      <c r="C161" s="25">
        <v>1328139</v>
      </c>
      <c r="D161" s="3"/>
      <c r="E161" s="6">
        <f t="shared" si="2"/>
        <v>1.3606703757126137E-2</v>
      </c>
    </row>
    <row r="162" spans="2:5" ht="22.95" customHeight="1">
      <c r="B162" s="3" t="s">
        <v>153</v>
      </c>
      <c r="C162" s="25">
        <v>1352229</v>
      </c>
      <c r="D162" s="3"/>
      <c r="E162" s="6">
        <f t="shared" si="2"/>
        <v>1.8138161743612713E-2</v>
      </c>
    </row>
    <row r="163" spans="2:5" ht="22.95" customHeight="1">
      <c r="B163" s="3" t="s">
        <v>154</v>
      </c>
      <c r="C163" s="25">
        <v>1363541</v>
      </c>
      <c r="D163" s="3"/>
      <c r="E163" s="6">
        <f t="shared" si="2"/>
        <v>8.3654469768064121E-3</v>
      </c>
    </row>
    <row r="164" spans="2:5" ht="22.95" customHeight="1">
      <c r="B164" s="3" t="s">
        <v>155</v>
      </c>
      <c r="C164" s="25">
        <v>1384876</v>
      </c>
      <c r="D164" s="3"/>
      <c r="E164" s="6">
        <f t="shared" si="2"/>
        <v>1.5646760896812051E-2</v>
      </c>
    </row>
    <row r="165" spans="2:5" ht="22.95" customHeight="1">
      <c r="B165" s="3" t="s">
        <v>156</v>
      </c>
      <c r="C165" s="25">
        <v>1404357</v>
      </c>
      <c r="D165" s="3"/>
      <c r="E165" s="6">
        <f t="shared" si="2"/>
        <v>1.4066963396000887E-2</v>
      </c>
    </row>
    <row r="166" spans="2:5" ht="22.95" customHeight="1">
      <c r="B166" s="3" t="s">
        <v>157</v>
      </c>
      <c r="C166" s="25">
        <v>1426823</v>
      </c>
      <c r="D166" s="3"/>
      <c r="E166" s="6">
        <f t="shared" si="2"/>
        <v>1.5997356797452511E-2</v>
      </c>
    </row>
    <row r="167" spans="2:5" ht="22.95" customHeight="1">
      <c r="B167" s="3" t="s">
        <v>158</v>
      </c>
      <c r="C167" s="25">
        <v>1443782</v>
      </c>
      <c r="D167" s="3"/>
      <c r="E167" s="6">
        <f t="shared" si="2"/>
        <v>1.1885847088251245E-2</v>
      </c>
    </row>
    <row r="168" spans="2:5" ht="22.95" customHeight="1">
      <c r="B168" s="3" t="s">
        <v>159</v>
      </c>
      <c r="C168" s="25">
        <v>1458465</v>
      </c>
      <c r="D168" s="3"/>
      <c r="E168" s="6">
        <f t="shared" si="2"/>
        <v>1.0169817881092946E-2</v>
      </c>
    </row>
    <row r="169" spans="2:5" ht="22.95" customHeight="1">
      <c r="B169" s="3" t="s">
        <v>160</v>
      </c>
      <c r="C169" s="25">
        <v>1460962</v>
      </c>
      <c r="D169" s="3"/>
      <c r="E169" s="6">
        <f t="shared" si="2"/>
        <v>1.7120739956049125E-3</v>
      </c>
    </row>
    <row r="170" spans="2:5" ht="22.95" customHeight="1">
      <c r="B170" s="3" t="s">
        <v>161</v>
      </c>
      <c r="C170" s="25">
        <v>1468700</v>
      </c>
      <c r="D170" s="3"/>
      <c r="E170" s="6">
        <f t="shared" si="2"/>
        <v>5.2965101077235843E-3</v>
      </c>
    </row>
    <row r="171" spans="2:5" ht="22.95" customHeight="1">
      <c r="B171" s="3" t="s">
        <v>162</v>
      </c>
      <c r="C171" s="25">
        <v>1472658</v>
      </c>
      <c r="D171" s="3"/>
      <c r="E171" s="6">
        <f t="shared" si="2"/>
        <v>2.6949002519234266E-3</v>
      </c>
    </row>
    <row r="172" spans="2:5" ht="22.95" customHeight="1">
      <c r="B172" s="3" t="s">
        <v>163</v>
      </c>
      <c r="C172" s="25">
        <v>1471677</v>
      </c>
      <c r="D172" s="3"/>
      <c r="E172" s="6">
        <f t="shared" si="2"/>
        <v>-6.6614244447793514E-4</v>
      </c>
    </row>
    <row r="173" spans="2:5" ht="22.95" customHeight="1">
      <c r="B173" s="3" t="s">
        <v>164</v>
      </c>
      <c r="C173" s="25">
        <v>1480637</v>
      </c>
      <c r="D173" s="3"/>
      <c r="E173" s="6">
        <f t="shared" si="2"/>
        <v>6.0882924717855502E-3</v>
      </c>
    </row>
    <row r="174" spans="2:5" ht="22.95" customHeight="1">
      <c r="B174" s="3" t="s">
        <v>165</v>
      </c>
      <c r="C174" s="25">
        <v>1502613</v>
      </c>
      <c r="D174" s="3"/>
      <c r="E174" s="6">
        <f t="shared" si="2"/>
        <v>1.4842260459518419E-2</v>
      </c>
    </row>
    <row r="175" spans="2:5" ht="22.95" customHeight="1">
      <c r="B175" s="3" t="s">
        <v>166</v>
      </c>
      <c r="C175" s="25">
        <v>1511469</v>
      </c>
      <c r="D175" s="3"/>
      <c r="E175" s="6">
        <f t="shared" si="2"/>
        <v>5.8937331169104379E-3</v>
      </c>
    </row>
    <row r="176" spans="2:5" ht="22.95" customHeight="1">
      <c r="B176" s="3" t="s">
        <v>167</v>
      </c>
      <c r="C176" s="25">
        <v>1524550</v>
      </c>
      <c r="D176" s="3"/>
      <c r="E176" s="6">
        <f t="shared" si="2"/>
        <v>8.6544944024653514E-3</v>
      </c>
    </row>
    <row r="177" spans="2:5" ht="22.95" customHeight="1">
      <c r="B177" s="3" t="s">
        <v>168</v>
      </c>
      <c r="C177" s="25">
        <v>1532914</v>
      </c>
      <c r="D177" s="3"/>
      <c r="E177" s="6">
        <f t="shared" si="2"/>
        <v>5.4862090452920675E-3</v>
      </c>
    </row>
    <row r="178" spans="2:5" ht="22.95" customHeight="1">
      <c r="B178" s="3" t="s">
        <v>169</v>
      </c>
      <c r="C178" s="25">
        <v>1541396</v>
      </c>
      <c r="D178" s="3"/>
      <c r="E178" s="6">
        <f t="shared" si="2"/>
        <v>5.5332523546656187E-3</v>
      </c>
    </row>
    <row r="179" spans="2:5" ht="22.95" customHeight="1">
      <c r="B179" s="3" t="s">
        <v>170</v>
      </c>
      <c r="C179" s="25">
        <v>1539123</v>
      </c>
      <c r="D179" s="3"/>
      <c r="E179" s="6">
        <f t="shared" si="2"/>
        <v>-1.4746372768581484E-3</v>
      </c>
    </row>
    <row r="180" spans="2:5" ht="22.95" customHeight="1">
      <c r="B180" s="3" t="s">
        <v>171</v>
      </c>
      <c r="C180" s="25">
        <v>1544874</v>
      </c>
      <c r="D180" s="3"/>
      <c r="E180" s="6">
        <f t="shared" si="2"/>
        <v>3.736543473133791E-3</v>
      </c>
    </row>
    <row r="181" spans="2:5" ht="22.95" customHeight="1">
      <c r="B181" s="3" t="s">
        <v>172</v>
      </c>
      <c r="C181" s="25">
        <v>1555533</v>
      </c>
      <c r="D181" s="3"/>
      <c r="E181" s="6">
        <f t="shared" si="2"/>
        <v>6.8995918113710086E-3</v>
      </c>
    </row>
    <row r="182" spans="2:5" ht="22.95" customHeight="1">
      <c r="B182" s="3" t="s">
        <v>173</v>
      </c>
      <c r="C182" s="25">
        <v>1566737</v>
      </c>
      <c r="D182" s="3"/>
      <c r="E182" s="6">
        <f t="shared" si="2"/>
        <v>7.2026758673715552E-3</v>
      </c>
    </row>
    <row r="183" spans="2:5" ht="22.95" customHeight="1">
      <c r="B183" s="3" t="s">
        <v>174</v>
      </c>
      <c r="C183" s="25">
        <v>1585347</v>
      </c>
      <c r="D183" s="3"/>
      <c r="E183" s="6">
        <f t="shared" si="2"/>
        <v>1.1878190149335888E-2</v>
      </c>
    </row>
    <row r="184" spans="2:5" ht="22.95" customHeight="1">
      <c r="B184" s="3" t="s">
        <v>175</v>
      </c>
      <c r="C184" s="25">
        <v>1604061</v>
      </c>
      <c r="D184" s="3"/>
      <c r="E184" s="6">
        <f t="shared" si="2"/>
        <v>1.1804355765646202E-2</v>
      </c>
    </row>
    <row r="185" spans="2:5" ht="22.95" customHeight="1">
      <c r="B185" s="3" t="s">
        <v>176</v>
      </c>
      <c r="C185" s="25">
        <v>1615585</v>
      </c>
      <c r="D185" s="3"/>
      <c r="E185" s="6">
        <f t="shared" si="2"/>
        <v>7.184265436289472E-3</v>
      </c>
    </row>
    <row r="186" spans="2:5" ht="22.95" customHeight="1">
      <c r="B186" s="3" t="s">
        <v>177</v>
      </c>
      <c r="C186" s="25">
        <v>1621176</v>
      </c>
      <c r="D186" s="3"/>
      <c r="E186" s="6">
        <f t="shared" si="2"/>
        <v>3.4606659507236959E-3</v>
      </c>
    </row>
    <row r="187" spans="2:5" ht="22.95" customHeight="1">
      <c r="B187" s="3" t="s">
        <v>178</v>
      </c>
      <c r="C187" s="25">
        <v>1632938</v>
      </c>
      <c r="D187" s="3"/>
      <c r="E187" s="6">
        <f t="shared" si="2"/>
        <v>7.2552270697321397E-3</v>
      </c>
    </row>
    <row r="188" spans="2:5" ht="22.95" customHeight="1">
      <c r="B188" s="3" t="s">
        <v>179</v>
      </c>
      <c r="C188" s="25">
        <v>1652719</v>
      </c>
      <c r="D188" s="3"/>
      <c r="E188" s="6">
        <f t="shared" si="2"/>
        <v>1.2113748348069553E-2</v>
      </c>
    </row>
    <row r="189" spans="2:5" ht="22.95" customHeight="1">
      <c r="B189" s="3" t="s">
        <v>180</v>
      </c>
      <c r="C189" s="25">
        <v>1669060</v>
      </c>
      <c r="D189" s="3"/>
      <c r="E189" s="6">
        <f t="shared" si="2"/>
        <v>9.887343220474909E-3</v>
      </c>
    </row>
    <row r="190" spans="2:5" ht="22.95" customHeight="1">
      <c r="B190" s="3" t="s">
        <v>181</v>
      </c>
      <c r="C190" s="25">
        <v>1682596</v>
      </c>
      <c r="D190" s="3"/>
      <c r="E190" s="6">
        <f t="shared" si="2"/>
        <v>8.1099541059039826E-3</v>
      </c>
    </row>
    <row r="191" spans="2:5" ht="22.95" customHeight="1">
      <c r="B191" s="3" t="s">
        <v>182</v>
      </c>
      <c r="C191" s="25">
        <v>1683465</v>
      </c>
      <c r="D191" s="3"/>
      <c r="E191" s="6">
        <f t="shared" si="2"/>
        <v>5.1646384515358079E-4</v>
      </c>
    </row>
    <row r="192" spans="2:5" ht="22.95" customHeight="1">
      <c r="B192" s="3" t="s">
        <v>183</v>
      </c>
      <c r="C192" s="25">
        <v>1688166</v>
      </c>
      <c r="D192" s="3"/>
      <c r="E192" s="6">
        <f t="shared" si="2"/>
        <v>2.7924548475910527E-3</v>
      </c>
    </row>
    <row r="193" spans="2:5" ht="22.95" customHeight="1">
      <c r="B193" s="3" t="s">
        <v>184</v>
      </c>
      <c r="C193" s="25">
        <v>1694895</v>
      </c>
      <c r="D193" s="3"/>
      <c r="E193" s="6">
        <f t="shared" si="2"/>
        <v>3.9859824211601058E-3</v>
      </c>
    </row>
    <row r="194" spans="2:5" ht="22.95" customHeight="1">
      <c r="B194" s="3" t="s">
        <v>185</v>
      </c>
      <c r="C194" s="25">
        <v>1705736</v>
      </c>
      <c r="D194" s="3"/>
      <c r="E194" s="6">
        <f t="shared" si="2"/>
        <v>6.3962664353838239E-3</v>
      </c>
    </row>
    <row r="195" spans="2:5" ht="22.95" customHeight="1">
      <c r="B195" s="3" t="s">
        <v>186</v>
      </c>
      <c r="C195" s="25">
        <v>1722263</v>
      </c>
      <c r="D195" s="3"/>
      <c r="E195" s="6">
        <f t="shared" si="2"/>
        <v>9.6890726349212475E-3</v>
      </c>
    </row>
    <row r="196" spans="2:5" ht="22.95" customHeight="1">
      <c r="B196" s="3" t="s">
        <v>187</v>
      </c>
      <c r="C196" s="25">
        <v>1729494</v>
      </c>
      <c r="D196" s="3"/>
      <c r="E196" s="6">
        <f t="shared" si="2"/>
        <v>4.1985457505619994E-3</v>
      </c>
    </row>
    <row r="197" spans="2:5" ht="22.95" customHeight="1">
      <c r="B197" s="3" t="s">
        <v>188</v>
      </c>
      <c r="C197" s="25">
        <v>1731459</v>
      </c>
      <c r="D197" s="3"/>
      <c r="E197" s="6">
        <f t="shared" si="2"/>
        <v>1.1361704637309344E-3</v>
      </c>
    </row>
    <row r="198" spans="2:5" ht="22.95" customHeight="1">
      <c r="B198" s="3" t="s">
        <v>189</v>
      </c>
      <c r="C198" s="25">
        <v>1732786</v>
      </c>
      <c r="D198" s="3"/>
      <c r="E198" s="6">
        <f t="shared" si="2"/>
        <v>7.6640567290353623E-4</v>
      </c>
    </row>
    <row r="199" spans="2:5" ht="22.95" customHeight="1">
      <c r="B199" s="3" t="s">
        <v>190</v>
      </c>
      <c r="C199" s="25">
        <v>1739053</v>
      </c>
      <c r="D199" s="3"/>
      <c r="E199" s="6">
        <f t="shared" si="2"/>
        <v>3.6167189716445058E-3</v>
      </c>
    </row>
    <row r="200" spans="2:5" ht="22.95" customHeight="1">
      <c r="B200" s="3" t="s">
        <v>191</v>
      </c>
      <c r="C200" s="25">
        <v>1753314</v>
      </c>
      <c r="D200" s="3"/>
      <c r="E200" s="6">
        <f t="shared" si="2"/>
        <v>8.2004401245965308E-3</v>
      </c>
    </row>
    <row r="201" spans="2:5" ht="22.95" customHeight="1">
      <c r="B201" s="3" t="s">
        <v>192</v>
      </c>
      <c r="C201" s="25">
        <v>1732984</v>
      </c>
      <c r="D201" s="3"/>
      <c r="E201" s="6">
        <f t="shared" si="2"/>
        <v>-1.1595184889871435E-2</v>
      </c>
    </row>
    <row r="202" spans="2:5" ht="22.95" customHeight="1">
      <c r="B202" s="3" t="s">
        <v>193</v>
      </c>
      <c r="C202" s="25">
        <v>1693824</v>
      </c>
      <c r="D202" s="3"/>
      <c r="E202" s="6">
        <f t="shared" si="2"/>
        <v>-2.2596861829076276E-2</v>
      </c>
    </row>
    <row r="203" spans="2:5" ht="22.95" customHeight="1">
      <c r="B203" s="3" t="s">
        <v>194</v>
      </c>
      <c r="C203" s="25">
        <v>1675340</v>
      </c>
      <c r="D203" s="3"/>
      <c r="E203" s="6">
        <f t="shared" si="2"/>
        <v>-1.0912585959344079E-2</v>
      </c>
    </row>
    <row r="204" spans="2:5" ht="22.95" customHeight="1">
      <c r="B204" s="3" t="s">
        <v>195</v>
      </c>
      <c r="C204" s="25">
        <v>1682878</v>
      </c>
      <c r="D204" s="3"/>
      <c r="E204" s="6">
        <f t="shared" ref="E204:E252" si="3">C204/C203-1</f>
        <v>4.4993851994221679E-3</v>
      </c>
    </row>
    <row r="205" spans="2:5" ht="22.95" customHeight="1">
      <c r="B205" s="3" t="s">
        <v>196</v>
      </c>
      <c r="C205" s="25">
        <v>1702503</v>
      </c>
      <c r="D205" s="3"/>
      <c r="E205" s="6">
        <f t="shared" si="3"/>
        <v>1.1661570238603147E-2</v>
      </c>
    </row>
    <row r="206" spans="2:5" ht="22.95" customHeight="1">
      <c r="B206" s="3" t="s">
        <v>197</v>
      </c>
      <c r="C206" s="25">
        <v>1723041</v>
      </c>
      <c r="D206" s="3"/>
      <c r="E206" s="6">
        <f t="shared" si="3"/>
        <v>1.2063414866229305E-2</v>
      </c>
    </row>
    <row r="207" spans="2:5" ht="22.95" customHeight="1">
      <c r="B207" s="3" t="s">
        <v>198</v>
      </c>
      <c r="C207" s="25">
        <v>1732057</v>
      </c>
      <c r="D207" s="3"/>
      <c r="E207" s="6">
        <f t="shared" si="3"/>
        <v>5.2326090905556732E-3</v>
      </c>
    </row>
    <row r="208" spans="2:5" ht="22.95" customHeight="1">
      <c r="B208" s="3" t="s">
        <v>199</v>
      </c>
      <c r="C208" s="25">
        <v>1744332</v>
      </c>
      <c r="D208" s="3"/>
      <c r="E208" s="6">
        <f t="shared" si="3"/>
        <v>7.0869492170291259E-3</v>
      </c>
    </row>
    <row r="209" spans="2:5" ht="22.95" customHeight="1">
      <c r="B209" s="3" t="s">
        <v>200</v>
      </c>
      <c r="C209" s="25">
        <v>1763825</v>
      </c>
      <c r="D209" s="3"/>
      <c r="E209" s="6">
        <f t="shared" si="3"/>
        <v>1.1175051538353964E-2</v>
      </c>
    </row>
    <row r="210" spans="2:5" ht="22.95" customHeight="1">
      <c r="B210" s="3" t="s">
        <v>201</v>
      </c>
      <c r="C210" s="25">
        <v>1777148</v>
      </c>
      <c r="D210" s="3"/>
      <c r="E210" s="6">
        <f t="shared" si="3"/>
        <v>7.5534704406616804E-3</v>
      </c>
    </row>
    <row r="211" spans="2:5" ht="22.95" customHeight="1">
      <c r="B211" s="3" t="s">
        <v>202</v>
      </c>
      <c r="C211" s="25">
        <v>1780610</v>
      </c>
      <c r="D211" s="3"/>
      <c r="E211" s="6">
        <f t="shared" si="3"/>
        <v>1.9480651020624684E-3</v>
      </c>
    </row>
    <row r="212" spans="2:5" ht="22.95" customHeight="1">
      <c r="B212" s="3" t="s">
        <v>203</v>
      </c>
      <c r="C212" s="25">
        <v>1805176</v>
      </c>
      <c r="D212" s="3"/>
      <c r="E212" s="6">
        <f t="shared" si="3"/>
        <v>1.3796395617232227E-2</v>
      </c>
    </row>
    <row r="213" spans="2:5" ht="22.95" customHeight="1">
      <c r="B213" s="3" t="s">
        <v>204</v>
      </c>
      <c r="C213" s="25">
        <v>1819392</v>
      </c>
      <c r="D213" s="3"/>
      <c r="E213" s="6">
        <f t="shared" si="3"/>
        <v>7.8751323970627229E-3</v>
      </c>
    </row>
    <row r="214" spans="2:5" ht="22.95" customHeight="1">
      <c r="B214" s="3" t="s">
        <v>205</v>
      </c>
      <c r="C214" s="25">
        <v>1820558</v>
      </c>
      <c r="D214" s="3"/>
      <c r="E214" s="6">
        <f t="shared" si="3"/>
        <v>6.4087343464191981E-4</v>
      </c>
    </row>
    <row r="215" spans="2:5" ht="22.95" customHeight="1">
      <c r="B215" s="3" t="s">
        <v>206</v>
      </c>
      <c r="C215" s="25">
        <v>1826496</v>
      </c>
      <c r="D215" s="3"/>
      <c r="E215" s="6">
        <f t="shared" si="3"/>
        <v>3.2616373661262799E-3</v>
      </c>
    </row>
    <row r="216" spans="2:5" ht="22.95" customHeight="1">
      <c r="B216" s="3" t="s">
        <v>207</v>
      </c>
      <c r="C216" s="25">
        <v>1828984</v>
      </c>
      <c r="D216" s="3"/>
      <c r="E216" s="6">
        <f t="shared" si="3"/>
        <v>1.3621710641578133E-3</v>
      </c>
    </row>
    <row r="217" spans="2:5" ht="22.95" customHeight="1">
      <c r="B217" s="3" t="s">
        <v>208</v>
      </c>
      <c r="C217" s="25">
        <v>1832766</v>
      </c>
      <c r="D217" s="3"/>
      <c r="E217" s="6">
        <f t="shared" si="3"/>
        <v>2.0678146993085011E-3</v>
      </c>
    </row>
    <row r="218" spans="2:5" ht="22.95" customHeight="1">
      <c r="B218" s="3" t="s">
        <v>209</v>
      </c>
      <c r="C218" s="25">
        <v>1849206</v>
      </c>
      <c r="D218" s="3"/>
      <c r="E218" s="6">
        <f t="shared" si="3"/>
        <v>8.9700485495693982E-3</v>
      </c>
    </row>
    <row r="219" spans="2:5" ht="22.95" customHeight="1">
      <c r="B219" s="3" t="s">
        <v>210</v>
      </c>
      <c r="C219" s="25">
        <v>1859938</v>
      </c>
      <c r="D219" s="3"/>
      <c r="E219" s="6">
        <f t="shared" si="3"/>
        <v>5.8035719114042372E-3</v>
      </c>
    </row>
    <row r="220" spans="2:5" ht="22.95" customHeight="1">
      <c r="B220" s="3" t="s">
        <v>211</v>
      </c>
      <c r="C220" s="25">
        <v>1875096</v>
      </c>
      <c r="D220" s="3"/>
      <c r="E220" s="6">
        <f t="shared" si="3"/>
        <v>8.1497340233922522E-3</v>
      </c>
    </row>
    <row r="221" spans="2:5" ht="22.95" customHeight="1">
      <c r="B221" s="3" t="s">
        <v>212</v>
      </c>
      <c r="C221" s="25">
        <v>1894795</v>
      </c>
      <c r="D221" s="3"/>
      <c r="E221" s="6">
        <f t="shared" si="3"/>
        <v>1.0505595446846483E-2</v>
      </c>
    </row>
    <row r="222" spans="2:5" ht="22.95" customHeight="1">
      <c r="B222" s="3" t="s">
        <v>213</v>
      </c>
      <c r="C222" s="25">
        <v>1897892</v>
      </c>
      <c r="D222" s="3"/>
      <c r="E222" s="6">
        <f t="shared" si="3"/>
        <v>1.6344776083956347E-3</v>
      </c>
    </row>
    <row r="223" spans="2:5" ht="22.95" customHeight="1">
      <c r="B223" s="3" t="s">
        <v>214</v>
      </c>
      <c r="C223" s="25">
        <v>1915226</v>
      </c>
      <c r="D223" s="3"/>
      <c r="E223" s="6">
        <f t="shared" si="3"/>
        <v>9.1332910407968537E-3</v>
      </c>
    </row>
    <row r="224" spans="2:5" ht="22.95" customHeight="1">
      <c r="B224" s="3" t="s">
        <v>215</v>
      </c>
      <c r="C224" s="25">
        <v>1933594</v>
      </c>
      <c r="D224" s="3"/>
      <c r="E224" s="6">
        <f t="shared" si="3"/>
        <v>9.5905130778299874E-3</v>
      </c>
    </row>
    <row r="225" spans="2:5" ht="22.95" customHeight="1">
      <c r="B225" s="3" t="s">
        <v>216</v>
      </c>
      <c r="C225" s="25">
        <v>1946974</v>
      </c>
      <c r="D225" s="3"/>
      <c r="E225" s="6">
        <f t="shared" si="3"/>
        <v>6.9197566810819122E-3</v>
      </c>
    </row>
    <row r="226" spans="2:5" ht="22.95" customHeight="1">
      <c r="B226" s="3" t="s">
        <v>217</v>
      </c>
      <c r="C226" s="25">
        <v>1936275</v>
      </c>
      <c r="D226" s="3"/>
      <c r="E226" s="6">
        <f t="shared" si="3"/>
        <v>-5.4951940806605704E-3</v>
      </c>
    </row>
    <row r="227" spans="2:5" ht="22.95" customHeight="1">
      <c r="B227" s="3" t="s">
        <v>218</v>
      </c>
      <c r="C227" s="25">
        <v>1931005</v>
      </c>
      <c r="D227" s="3"/>
      <c r="E227" s="6">
        <f t="shared" si="3"/>
        <v>-2.721720829944041E-3</v>
      </c>
    </row>
    <row r="228" spans="2:5" ht="22.95" customHeight="1">
      <c r="B228" s="3" t="s">
        <v>219</v>
      </c>
      <c r="C228" s="25">
        <v>1937835</v>
      </c>
      <c r="D228" s="3"/>
      <c r="E228" s="6">
        <f t="shared" si="3"/>
        <v>3.5370182884042478E-3</v>
      </c>
    </row>
    <row r="229" spans="2:5" ht="22.95" customHeight="1">
      <c r="B229" s="3" t="s">
        <v>220</v>
      </c>
      <c r="C229" s="25">
        <v>1939286</v>
      </c>
      <c r="D229" s="3"/>
      <c r="E229" s="6">
        <f t="shared" si="3"/>
        <v>7.4877376040793919E-4</v>
      </c>
    </row>
    <row r="230" spans="2:5" ht="22.95" customHeight="1">
      <c r="B230" s="3" t="s">
        <v>221</v>
      </c>
      <c r="C230" s="25">
        <v>1949923</v>
      </c>
      <c r="D230" s="3"/>
      <c r="E230" s="6">
        <f t="shared" si="3"/>
        <v>5.4850083999986587E-3</v>
      </c>
    </row>
    <row r="231" spans="2:5" ht="22.95" customHeight="1">
      <c r="B231" s="3" t="s">
        <v>222</v>
      </c>
      <c r="C231" s="25">
        <v>1940335</v>
      </c>
      <c r="D231" s="3"/>
      <c r="E231" s="6">
        <f t="shared" si="3"/>
        <v>-4.9171172400140906E-3</v>
      </c>
    </row>
    <row r="232" spans="2:5" ht="22.95" customHeight="1">
      <c r="B232" s="3" t="s">
        <v>223</v>
      </c>
      <c r="C232" s="25">
        <v>1960344</v>
      </c>
      <c r="D232" s="3"/>
      <c r="E232" s="6">
        <f t="shared" si="3"/>
        <v>1.0312136821734486E-2</v>
      </c>
    </row>
    <row r="233" spans="2:5" ht="22.95" customHeight="1">
      <c r="B233" s="3" t="s">
        <v>224</v>
      </c>
      <c r="C233" s="25">
        <v>1971351</v>
      </c>
      <c r="D233" s="3"/>
      <c r="E233" s="6">
        <f t="shared" si="3"/>
        <v>5.6148308664194513E-3</v>
      </c>
    </row>
    <row r="234" spans="2:5" ht="22.95" customHeight="1">
      <c r="B234" s="3" t="s">
        <v>225</v>
      </c>
      <c r="C234" s="25">
        <v>1992778</v>
      </c>
      <c r="D234" s="3"/>
      <c r="E234" s="6">
        <f t="shared" si="3"/>
        <v>1.0869195795167874E-2</v>
      </c>
    </row>
    <row r="235" spans="2:5" ht="22.95" customHeight="1">
      <c r="B235" s="3" t="s">
        <v>226</v>
      </c>
      <c r="C235" s="25">
        <v>2013165</v>
      </c>
      <c r="D235" s="3"/>
      <c r="E235" s="6">
        <f t="shared" si="3"/>
        <v>1.0230442126518913E-2</v>
      </c>
    </row>
    <row r="236" spans="2:5" ht="22.95" customHeight="1">
      <c r="B236" s="3" t="s">
        <v>227</v>
      </c>
      <c r="C236" s="25">
        <v>2021658</v>
      </c>
      <c r="D236" s="3"/>
      <c r="E236" s="6">
        <f t="shared" si="3"/>
        <v>4.218730208403132E-3</v>
      </c>
    </row>
    <row r="237" spans="2:5" ht="22.95" customHeight="1">
      <c r="B237" s="3" t="s">
        <v>228</v>
      </c>
      <c r="C237" s="25">
        <v>2032130</v>
      </c>
      <c r="D237" s="3"/>
      <c r="E237" s="6">
        <f t="shared" si="3"/>
        <v>5.1799067893778528E-3</v>
      </c>
    </row>
    <row r="238" spans="2:5" ht="22.95" customHeight="1">
      <c r="B238" s="3" t="s">
        <v>229</v>
      </c>
      <c r="C238" s="25">
        <v>2049916</v>
      </c>
      <c r="D238" s="3"/>
      <c r="E238" s="6">
        <f t="shared" si="3"/>
        <v>8.7523928095152304E-3</v>
      </c>
    </row>
    <row r="239" spans="2:5" ht="22.95" customHeight="1">
      <c r="B239" s="3" t="s">
        <v>230</v>
      </c>
      <c r="C239" s="25">
        <v>2066010</v>
      </c>
      <c r="D239" s="3"/>
      <c r="E239" s="6">
        <f t="shared" si="3"/>
        <v>7.8510534090177053E-3</v>
      </c>
    </row>
    <row r="240" spans="2:5" ht="22.95" customHeight="1">
      <c r="B240" s="3" t="s">
        <v>231</v>
      </c>
      <c r="C240" s="25">
        <v>2080268</v>
      </c>
      <c r="D240" s="3"/>
      <c r="E240" s="6">
        <f t="shared" si="3"/>
        <v>6.9012250666744546E-3</v>
      </c>
    </row>
    <row r="241" spans="2:5" ht="24" customHeight="1">
      <c r="B241" s="3" t="s">
        <v>232</v>
      </c>
      <c r="C241" s="25">
        <v>2087359</v>
      </c>
      <c r="D241" s="3"/>
      <c r="E241" s="6">
        <f t="shared" si="3"/>
        <v>3.4086954180903017E-3</v>
      </c>
    </row>
    <row r="242" spans="2:5" ht="22.95" customHeight="1">
      <c r="B242" s="3" t="s">
        <v>244</v>
      </c>
      <c r="C242" s="25">
        <v>2089251</v>
      </c>
      <c r="E242" s="6">
        <f t="shared" si="3"/>
        <v>9.0640852867185373E-4</v>
      </c>
    </row>
    <row r="243" spans="2:5" ht="22.95" customHeight="1">
      <c r="B243" s="3" t="s">
        <v>238</v>
      </c>
      <c r="C243" s="25">
        <v>2109950</v>
      </c>
      <c r="E243" s="6">
        <f t="shared" si="3"/>
        <v>9.9073782901144547E-3</v>
      </c>
    </row>
    <row r="244" spans="2:5" ht="22.95" customHeight="1">
      <c r="B244" s="3" t="s">
        <v>239</v>
      </c>
      <c r="C244" s="25">
        <v>2116842</v>
      </c>
      <c r="E244" s="6">
        <f t="shared" si="3"/>
        <v>3.266428114410358E-3</v>
      </c>
    </row>
    <row r="245" spans="2:5" ht="24" customHeight="1">
      <c r="B245" s="3" t="s">
        <v>240</v>
      </c>
      <c r="C245" s="25">
        <v>2123207</v>
      </c>
      <c r="E245" s="6">
        <f t="shared" si="3"/>
        <v>3.0068375438507822E-3</v>
      </c>
    </row>
    <row r="246" spans="2:5" ht="28.05" customHeight="1">
      <c r="B246" s="3" t="s">
        <v>248</v>
      </c>
      <c r="C246" s="25">
        <v>2077403</v>
      </c>
      <c r="E246" s="6">
        <f t="shared" si="3"/>
        <v>-2.1573026087423397E-2</v>
      </c>
    </row>
    <row r="247" spans="2:5" ht="28.05" customHeight="1">
      <c r="B247" s="3" t="s">
        <v>249</v>
      </c>
      <c r="C247" s="25">
        <v>1848005</v>
      </c>
      <c r="E247" s="6">
        <f t="shared" si="3"/>
        <v>-0.11042537244819617</v>
      </c>
    </row>
    <row r="248" spans="2:5" ht="28.05" customHeight="1">
      <c r="B248" s="3" t="s">
        <v>250</v>
      </c>
      <c r="C248" s="25">
        <v>2014029</v>
      </c>
      <c r="E248" s="6">
        <f t="shared" si="3"/>
        <v>8.983958376736001E-2</v>
      </c>
    </row>
    <row r="249" spans="2:5" ht="28.05" customHeight="1">
      <c r="B249" s="3" t="s">
        <v>251</v>
      </c>
      <c r="C249" s="25">
        <v>2058185</v>
      </c>
      <c r="E249" s="6">
        <f t="shared" si="3"/>
        <v>2.1924212610642702E-2</v>
      </c>
    </row>
    <row r="250" spans="2:5" ht="28.05" customHeight="1">
      <c r="B250" s="3" t="s">
        <v>252</v>
      </c>
      <c r="C250" s="25">
        <v>2082980</v>
      </c>
      <c r="E250" s="6">
        <f t="shared" si="3"/>
        <v>1.2047022012112718E-2</v>
      </c>
    </row>
    <row r="251" spans="2:5" ht="28.05" customHeight="1">
      <c r="B251" s="3" t="s">
        <v>253</v>
      </c>
      <c r="C251" s="25">
        <v>2066339</v>
      </c>
      <c r="E251" s="6">
        <f t="shared" si="3"/>
        <v>-7.9890349403258787E-3</v>
      </c>
    </row>
    <row r="252" spans="2:5" ht="28.05" customHeight="1">
      <c r="B252" s="3" t="s">
        <v>254</v>
      </c>
      <c r="C252" s="25">
        <v>2093927</v>
      </c>
      <c r="E252" s="6">
        <f t="shared" si="3"/>
        <v>1.3351149061214151E-2</v>
      </c>
    </row>
  </sheetData>
  <phoneticPr fontId="1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D2A2-00ED-2D40-9626-EEED18E94E04}">
  <dimension ref="B7:D116"/>
  <sheetViews>
    <sheetView tabSelected="1" topLeftCell="A76" zoomScale="70" zoomScaleNormal="70" workbookViewId="0">
      <selection activeCell="E91" sqref="E91"/>
    </sheetView>
  </sheetViews>
  <sheetFormatPr baseColWidth="10" defaultRowHeight="15.6"/>
  <cols>
    <col min="3" max="4" width="10.796875" style="30"/>
  </cols>
  <sheetData>
    <row r="7" spans="2:4" ht="109.2">
      <c r="B7" s="31" t="s">
        <v>245</v>
      </c>
      <c r="C7" s="31" t="s">
        <v>255</v>
      </c>
      <c r="D7" s="32" t="s">
        <v>260</v>
      </c>
    </row>
    <row r="9" spans="2:4">
      <c r="B9">
        <v>1914</v>
      </c>
      <c r="C9" s="61">
        <v>6</v>
      </c>
      <c r="D9" s="62" t="s">
        <v>256</v>
      </c>
    </row>
    <row r="10" spans="2:4">
      <c r="B10">
        <v>1915</v>
      </c>
      <c r="C10" s="61">
        <v>6.1</v>
      </c>
      <c r="D10" s="62">
        <v>1.6666666666666607</v>
      </c>
    </row>
    <row r="11" spans="2:4">
      <c r="B11">
        <v>1916</v>
      </c>
      <c r="C11" s="61">
        <v>6.4</v>
      </c>
      <c r="D11" s="62">
        <v>4.9180327868852576</v>
      </c>
    </row>
    <row r="12" spans="2:4">
      <c r="B12">
        <v>1917</v>
      </c>
      <c r="C12" s="61">
        <v>7.4</v>
      </c>
      <c r="D12" s="62">
        <v>15.625</v>
      </c>
    </row>
    <row r="13" spans="2:4">
      <c r="B13">
        <v>1918</v>
      </c>
      <c r="C13" s="61">
        <v>8.4</v>
      </c>
      <c r="D13" s="62">
        <v>13.513513513513512</v>
      </c>
    </row>
    <row r="14" spans="2:4">
      <c r="B14">
        <v>1919</v>
      </c>
      <c r="C14" s="61">
        <v>9.5</v>
      </c>
      <c r="D14" s="62">
        <v>13.09523809523809</v>
      </c>
    </row>
    <row r="15" spans="2:4">
      <c r="B15">
        <v>1920</v>
      </c>
      <c r="C15" s="61">
        <v>10.6</v>
      </c>
      <c r="D15" s="62">
        <v>11.578947368421048</v>
      </c>
    </row>
    <row r="16" spans="2:4">
      <c r="B16">
        <v>1921</v>
      </c>
      <c r="C16" s="61">
        <v>11</v>
      </c>
      <c r="D16" s="62">
        <v>3.7735849056603805</v>
      </c>
    </row>
    <row r="17" spans="2:4">
      <c r="B17">
        <v>1922</v>
      </c>
      <c r="C17" s="61">
        <v>9.4</v>
      </c>
      <c r="D17" s="62">
        <v>-14.545454545454541</v>
      </c>
    </row>
    <row r="18" spans="2:4">
      <c r="B18">
        <v>1923</v>
      </c>
      <c r="C18" s="61">
        <v>9.1999999999999993</v>
      </c>
      <c r="D18" s="62">
        <v>-2.1276595744680966</v>
      </c>
    </row>
    <row r="19" spans="2:4">
      <c r="B19">
        <v>1924</v>
      </c>
      <c r="C19" s="61">
        <v>9.1999999999999993</v>
      </c>
      <c r="D19" s="62">
        <v>0</v>
      </c>
    </row>
    <row r="20" spans="2:4">
      <c r="B20">
        <v>1925</v>
      </c>
      <c r="C20" s="61">
        <v>9.1999999999999993</v>
      </c>
      <c r="D20" s="62">
        <v>0</v>
      </c>
    </row>
    <row r="21" spans="2:4">
      <c r="B21">
        <v>1926</v>
      </c>
      <c r="C21" s="61">
        <v>9.1999999999999993</v>
      </c>
      <c r="D21" s="62">
        <v>0</v>
      </c>
    </row>
    <row r="22" spans="2:4">
      <c r="B22">
        <v>1927</v>
      </c>
      <c r="C22" s="61">
        <v>9.1999999999999993</v>
      </c>
      <c r="D22" s="62">
        <v>0</v>
      </c>
    </row>
    <row r="23" spans="2:4">
      <c r="B23">
        <v>1928</v>
      </c>
      <c r="C23" s="61">
        <v>9.1999999999999993</v>
      </c>
      <c r="D23" s="62">
        <v>0</v>
      </c>
    </row>
    <row r="24" spans="2:4">
      <c r="B24">
        <v>1929</v>
      </c>
      <c r="C24" s="61">
        <v>9.1999999999999993</v>
      </c>
      <c r="D24" s="62">
        <v>0</v>
      </c>
    </row>
    <row r="25" spans="2:4">
      <c r="B25">
        <v>1930</v>
      </c>
      <c r="C25" s="61">
        <v>9.4</v>
      </c>
      <c r="D25" s="62">
        <v>2.1739130434782727</v>
      </c>
    </row>
    <row r="26" spans="2:4">
      <c r="B26">
        <v>1931</v>
      </c>
      <c r="C26" s="61">
        <v>8.6999999999999993</v>
      </c>
      <c r="D26" s="62">
        <v>-7.4468085106383084</v>
      </c>
    </row>
    <row r="27" spans="2:4">
      <c r="B27">
        <v>1932</v>
      </c>
      <c r="C27" s="61">
        <v>7.8</v>
      </c>
      <c r="D27" s="62">
        <v>-10.344827586206891</v>
      </c>
    </row>
    <row r="28" spans="2:4">
      <c r="B28">
        <v>1933</v>
      </c>
      <c r="C28" s="61">
        <v>7.2</v>
      </c>
      <c r="D28" s="62">
        <v>-7.692307692307689</v>
      </c>
    </row>
    <row r="29" spans="2:4">
      <c r="B29">
        <v>1934</v>
      </c>
      <c r="C29" s="61">
        <v>7.2</v>
      </c>
      <c r="D29" s="62">
        <v>0</v>
      </c>
    </row>
    <row r="30" spans="2:4">
      <c r="B30">
        <v>1935</v>
      </c>
      <c r="C30" s="61">
        <v>7.2</v>
      </c>
      <c r="D30" s="62">
        <v>0</v>
      </c>
    </row>
    <row r="31" spans="2:4">
      <c r="B31">
        <v>1936</v>
      </c>
      <c r="C31" s="61">
        <v>7.4</v>
      </c>
      <c r="D31" s="62">
        <v>2.7777777777777799</v>
      </c>
    </row>
    <row r="32" spans="2:4">
      <c r="B32">
        <v>1937</v>
      </c>
      <c r="C32" s="61">
        <v>7.6</v>
      </c>
      <c r="D32" s="62">
        <v>2.7027027027026933</v>
      </c>
    </row>
    <row r="33" spans="2:4">
      <c r="B33">
        <v>1938</v>
      </c>
      <c r="C33" s="61">
        <v>7.7</v>
      </c>
      <c r="D33" s="62">
        <v>1.3157894736842175</v>
      </c>
    </row>
    <row r="34" spans="2:4">
      <c r="B34">
        <v>1939</v>
      </c>
      <c r="C34" s="61">
        <v>7.6</v>
      </c>
      <c r="D34" s="62">
        <v>-1.2987012987013056</v>
      </c>
    </row>
    <row r="35" spans="2:4">
      <c r="B35">
        <v>1940</v>
      </c>
      <c r="C35" s="61">
        <v>7.8</v>
      </c>
      <c r="D35" s="62">
        <v>2.6315789473684239</v>
      </c>
    </row>
    <row r="36" spans="2:4">
      <c r="B36">
        <v>1941</v>
      </c>
      <c r="C36" s="61">
        <v>8.1999999999999993</v>
      </c>
      <c r="D36" s="62">
        <v>5.1282051282051215</v>
      </c>
    </row>
    <row r="37" spans="2:4">
      <c r="B37">
        <v>1942</v>
      </c>
      <c r="C37" s="61">
        <v>8.6999999999999993</v>
      </c>
      <c r="D37" s="62">
        <v>6.0975609756097571</v>
      </c>
    </row>
    <row r="38" spans="2:4">
      <c r="B38">
        <v>1943</v>
      </c>
      <c r="C38" s="61">
        <v>8.8000000000000007</v>
      </c>
      <c r="D38" s="62">
        <v>1.1494252873563382</v>
      </c>
    </row>
    <row r="39" spans="2:4">
      <c r="B39">
        <v>1944</v>
      </c>
      <c r="C39" s="61">
        <v>9.1</v>
      </c>
      <c r="D39" s="62">
        <v>3.4090909090908972</v>
      </c>
    </row>
    <row r="40" spans="2:4">
      <c r="B40">
        <v>1945</v>
      </c>
      <c r="C40" s="61">
        <v>9</v>
      </c>
      <c r="D40" s="62">
        <v>-1.098901098901095</v>
      </c>
    </row>
    <row r="41" spans="2:4">
      <c r="B41">
        <v>1946</v>
      </c>
      <c r="C41" s="61">
        <v>9.1999999999999993</v>
      </c>
      <c r="D41" s="62">
        <v>2.2222222222222143</v>
      </c>
    </row>
    <row r="42" spans="2:4">
      <c r="B42">
        <v>1947</v>
      </c>
      <c r="C42" s="61">
        <v>9.6999999999999993</v>
      </c>
      <c r="D42" s="62">
        <v>5.4347826086956523</v>
      </c>
    </row>
    <row r="43" spans="2:4">
      <c r="B43">
        <v>1948</v>
      </c>
      <c r="C43" s="61">
        <v>11.2</v>
      </c>
      <c r="D43" s="62">
        <v>15.463917525773196</v>
      </c>
    </row>
    <row r="44" spans="2:4">
      <c r="B44">
        <v>1949</v>
      </c>
      <c r="C44" s="61">
        <v>12.1</v>
      </c>
      <c r="D44" s="62">
        <v>8.0357142857142883</v>
      </c>
    </row>
    <row r="45" spans="2:4">
      <c r="B45">
        <v>1950</v>
      </c>
      <c r="C45" s="61">
        <v>12.1</v>
      </c>
      <c r="D45" s="62">
        <v>0</v>
      </c>
    </row>
    <row r="46" spans="2:4">
      <c r="B46">
        <v>1951</v>
      </c>
      <c r="C46" s="61">
        <v>13</v>
      </c>
      <c r="D46" s="62">
        <v>7.4380165289256226</v>
      </c>
    </row>
    <row r="47" spans="2:4">
      <c r="B47">
        <v>1952</v>
      </c>
      <c r="C47" s="61">
        <v>14.4</v>
      </c>
      <c r="D47" s="62">
        <v>10.769230769230772</v>
      </c>
    </row>
    <row r="48" spans="2:4">
      <c r="B48">
        <v>1953</v>
      </c>
      <c r="C48" s="61">
        <v>14.1</v>
      </c>
      <c r="D48" s="62">
        <v>-2.0833333333333379</v>
      </c>
    </row>
    <row r="49" spans="2:4">
      <c r="B49">
        <v>1954</v>
      </c>
      <c r="C49" s="61">
        <v>14.1</v>
      </c>
      <c r="D49" s="62">
        <v>0</v>
      </c>
    </row>
    <row r="50" spans="2:4">
      <c r="B50">
        <v>1955</v>
      </c>
      <c r="C50" s="61">
        <v>14.1</v>
      </c>
      <c r="D50" s="62">
        <v>0</v>
      </c>
    </row>
    <row r="51" spans="2:4">
      <c r="B51">
        <v>1956</v>
      </c>
      <c r="C51" s="61">
        <v>14.2</v>
      </c>
      <c r="D51" s="62">
        <v>0.70921985815602584</v>
      </c>
    </row>
    <row r="52" spans="2:4">
      <c r="B52">
        <v>1957</v>
      </c>
      <c r="C52" s="61">
        <v>14.6</v>
      </c>
      <c r="D52" s="62">
        <v>2.8169014084507067</v>
      </c>
    </row>
    <row r="53" spans="2:4">
      <c r="B53">
        <v>1958</v>
      </c>
      <c r="C53" s="61">
        <v>15</v>
      </c>
      <c r="D53" s="62">
        <v>2.7397260273972628</v>
      </c>
    </row>
    <row r="54" spans="2:4">
      <c r="B54">
        <v>1959</v>
      </c>
      <c r="C54" s="61">
        <v>15.3</v>
      </c>
      <c r="D54" s="62">
        <v>2.0000000000000049</v>
      </c>
    </row>
    <row r="55" spans="2:4">
      <c r="B55">
        <v>1960</v>
      </c>
      <c r="C55" s="61">
        <v>15.5</v>
      </c>
      <c r="D55" s="62">
        <v>1.3071895424836555</v>
      </c>
    </row>
    <row r="56" spans="2:4">
      <c r="B56">
        <v>1961</v>
      </c>
      <c r="C56" s="61">
        <v>15.7</v>
      </c>
      <c r="D56" s="62">
        <v>1.2903225806451568</v>
      </c>
    </row>
    <row r="57" spans="2:4">
      <c r="B57">
        <v>1962</v>
      </c>
      <c r="C57" s="61">
        <v>15.7</v>
      </c>
      <c r="D57" s="62">
        <v>0</v>
      </c>
    </row>
    <row r="58" spans="2:4">
      <c r="B58">
        <v>1963</v>
      </c>
      <c r="C58" s="61">
        <v>16</v>
      </c>
      <c r="D58" s="62">
        <v>1.9108280254777117</v>
      </c>
    </row>
    <row r="59" spans="2:4">
      <c r="B59">
        <v>1964</v>
      </c>
      <c r="C59" s="61">
        <v>16.3</v>
      </c>
      <c r="D59" s="62">
        <v>1.8750000000000044</v>
      </c>
    </row>
    <row r="60" spans="2:4">
      <c r="B60">
        <v>1965</v>
      </c>
      <c r="C60" s="61">
        <v>16.600000000000001</v>
      </c>
      <c r="D60" s="62">
        <v>1.8404907975460165</v>
      </c>
    </row>
    <row r="61" spans="2:4">
      <c r="B61">
        <v>1966</v>
      </c>
      <c r="C61" s="61">
        <v>17.100000000000001</v>
      </c>
      <c r="D61" s="62">
        <v>3.012048192771084</v>
      </c>
    </row>
    <row r="62" spans="2:4">
      <c r="B62">
        <v>1967</v>
      </c>
      <c r="C62" s="61">
        <v>17.7</v>
      </c>
      <c r="D62" s="62">
        <v>3.5087719298245488</v>
      </c>
    </row>
    <row r="63" spans="2:4">
      <c r="B63">
        <v>1968</v>
      </c>
      <c r="C63" s="61">
        <v>18.5</v>
      </c>
      <c r="D63" s="62">
        <v>4.5197740112994396</v>
      </c>
    </row>
    <row r="64" spans="2:4">
      <c r="B64">
        <v>1969</v>
      </c>
      <c r="C64" s="61">
        <v>19.2</v>
      </c>
      <c r="D64" s="62">
        <v>3.7837837837837798</v>
      </c>
    </row>
    <row r="65" spans="2:4">
      <c r="B65">
        <v>1970</v>
      </c>
      <c r="C65" s="61">
        <v>20.2</v>
      </c>
      <c r="D65" s="62">
        <v>5.2083333333333339</v>
      </c>
    </row>
    <row r="66" spans="2:4">
      <c r="B66">
        <v>1971</v>
      </c>
      <c r="C66" s="61">
        <v>20.399999999999999</v>
      </c>
      <c r="D66" s="62">
        <v>0.99009900990098665</v>
      </c>
    </row>
    <row r="67" spans="2:4">
      <c r="B67">
        <v>1972</v>
      </c>
      <c r="C67" s="61">
        <v>21.4</v>
      </c>
      <c r="D67" s="62">
        <v>4.9019607843137258</v>
      </c>
    </row>
    <row r="68" spans="2:4">
      <c r="B68">
        <v>1973</v>
      </c>
      <c r="C68" s="61">
        <v>22.6</v>
      </c>
      <c r="D68" s="62">
        <v>5.6074766355140326</v>
      </c>
    </row>
    <row r="69" spans="2:4">
      <c r="B69">
        <v>1974</v>
      </c>
      <c r="C69" s="61">
        <v>24.7</v>
      </c>
      <c r="D69" s="62">
        <v>9.2920353982300785</v>
      </c>
    </row>
    <row r="70" spans="2:4">
      <c r="B70">
        <v>1975</v>
      </c>
      <c r="C70" s="61">
        <v>27.6</v>
      </c>
      <c r="D70" s="62">
        <v>11.740890688259119</v>
      </c>
    </row>
    <row r="71" spans="2:4">
      <c r="B71">
        <v>1976</v>
      </c>
      <c r="C71" s="61">
        <v>30.3</v>
      </c>
      <c r="D71" s="62">
        <v>9.7826086956521703</v>
      </c>
    </row>
    <row r="72" spans="2:4">
      <c r="B72">
        <v>1977</v>
      </c>
      <c r="C72" s="61">
        <v>32.200000000000003</v>
      </c>
      <c r="D72" s="62">
        <v>6.2706270627062768</v>
      </c>
    </row>
    <row r="73" spans="2:4">
      <c r="B73">
        <v>1978</v>
      </c>
      <c r="C73" s="61">
        <v>35.1</v>
      </c>
      <c r="D73" s="62">
        <v>9.0062111801242182</v>
      </c>
    </row>
    <row r="74" spans="2:4">
      <c r="B74">
        <v>1979</v>
      </c>
      <c r="C74" s="61">
        <v>38.1</v>
      </c>
      <c r="D74" s="62">
        <v>8.5470085470085468</v>
      </c>
    </row>
    <row r="75" spans="2:4">
      <c r="B75">
        <v>1980</v>
      </c>
      <c r="C75" s="61">
        <v>41.8</v>
      </c>
      <c r="D75" s="62">
        <v>9.7112860892388344</v>
      </c>
    </row>
    <row r="76" spans="2:4">
      <c r="B76">
        <v>1981</v>
      </c>
      <c r="C76" s="61">
        <v>46.9</v>
      </c>
      <c r="D76" s="62">
        <v>12.200956937799047</v>
      </c>
    </row>
    <row r="77" spans="2:4">
      <c r="B77">
        <v>1982</v>
      </c>
      <c r="C77" s="61">
        <v>52.2</v>
      </c>
      <c r="D77" s="62">
        <v>11.300639658848624</v>
      </c>
    </row>
    <row r="78" spans="2:4">
      <c r="B78">
        <v>1983</v>
      </c>
      <c r="C78" s="61">
        <v>56.5</v>
      </c>
      <c r="D78" s="62">
        <v>8.2375478927203005</v>
      </c>
    </row>
    <row r="79" spans="2:4">
      <c r="B79">
        <v>1984</v>
      </c>
      <c r="C79" s="61">
        <v>59.6</v>
      </c>
      <c r="D79" s="62">
        <v>5.4867256637168165</v>
      </c>
    </row>
    <row r="80" spans="2:4">
      <c r="B80">
        <v>1985</v>
      </c>
      <c r="C80" s="61">
        <v>61.7</v>
      </c>
      <c r="D80" s="62">
        <v>3.5234899328859086</v>
      </c>
    </row>
    <row r="81" spans="2:4">
      <c r="B81">
        <v>1986</v>
      </c>
      <c r="C81" s="61">
        <v>64.400000000000006</v>
      </c>
      <c r="D81" s="62">
        <v>4.3760129659643479</v>
      </c>
    </row>
    <row r="82" spans="2:4">
      <c r="B82">
        <v>1987</v>
      </c>
      <c r="C82" s="61">
        <v>67</v>
      </c>
      <c r="D82" s="62">
        <v>4.0372670807453321</v>
      </c>
    </row>
    <row r="83" spans="2:4">
      <c r="B83">
        <v>1988</v>
      </c>
      <c r="C83" s="61">
        <v>69.7</v>
      </c>
      <c r="D83" s="62">
        <v>4.0298507462686608</v>
      </c>
    </row>
    <row r="84" spans="2:4">
      <c r="B84">
        <v>1989</v>
      </c>
      <c r="C84" s="61">
        <v>72.7</v>
      </c>
      <c r="D84" s="62">
        <v>4.3041606886657098</v>
      </c>
    </row>
    <row r="85" spans="2:4">
      <c r="B85">
        <v>1990</v>
      </c>
      <c r="C85" s="61">
        <v>76.7</v>
      </c>
      <c r="D85" s="62">
        <v>5.5020632737276474</v>
      </c>
    </row>
    <row r="86" spans="2:4">
      <c r="B86">
        <v>1991</v>
      </c>
      <c r="C86" s="61">
        <v>82</v>
      </c>
      <c r="D86" s="62">
        <v>6.9100391134289394</v>
      </c>
    </row>
    <row r="87" spans="2:4">
      <c r="B87">
        <v>1992</v>
      </c>
      <c r="C87" s="61">
        <v>83.3</v>
      </c>
      <c r="D87" s="62">
        <v>1.5853658536585331</v>
      </c>
    </row>
    <row r="88" spans="2:4">
      <c r="B88">
        <v>1993</v>
      </c>
      <c r="C88" s="61">
        <v>85</v>
      </c>
      <c r="D88" s="62">
        <v>2.0408163265306158</v>
      </c>
    </row>
    <row r="89" spans="2:4">
      <c r="B89">
        <v>1994</v>
      </c>
      <c r="C89" s="61">
        <v>86.1</v>
      </c>
      <c r="D89" s="62">
        <v>1.2941176470588167</v>
      </c>
    </row>
    <row r="90" spans="2:4">
      <c r="B90">
        <v>1995</v>
      </c>
      <c r="C90" s="61">
        <v>86.6</v>
      </c>
      <c r="D90" s="62">
        <v>0.58072009291521487</v>
      </c>
    </row>
    <row r="91" spans="2:4">
      <c r="B91">
        <v>1996</v>
      </c>
      <c r="C91" s="61">
        <v>88</v>
      </c>
      <c r="D91" s="62">
        <v>1.6166281755196372</v>
      </c>
    </row>
    <row r="92" spans="2:4">
      <c r="B92">
        <v>1997</v>
      </c>
      <c r="C92" s="61">
        <v>89.9</v>
      </c>
      <c r="D92" s="62">
        <v>2.1590909090909158</v>
      </c>
    </row>
    <row r="93" spans="2:4">
      <c r="B93">
        <v>1998</v>
      </c>
      <c r="C93" s="61">
        <v>90.9</v>
      </c>
      <c r="D93" s="62">
        <v>1.1123470522803114</v>
      </c>
    </row>
    <row r="94" spans="2:4">
      <c r="B94">
        <v>1999</v>
      </c>
      <c r="C94" s="61">
        <v>91.5</v>
      </c>
      <c r="D94" s="62">
        <v>0.66006600660065373</v>
      </c>
    </row>
    <row r="95" spans="2:4">
      <c r="B95">
        <v>2000</v>
      </c>
      <c r="C95" s="61">
        <v>93.5</v>
      </c>
      <c r="D95" s="62">
        <v>2.1857923497267762</v>
      </c>
    </row>
    <row r="96" spans="2:4">
      <c r="B96">
        <v>2001</v>
      </c>
      <c r="C96" s="61">
        <v>96.3</v>
      </c>
      <c r="D96" s="62">
        <v>2.9946524064171096</v>
      </c>
    </row>
    <row r="97" spans="2:4">
      <c r="B97">
        <v>2002</v>
      </c>
      <c r="C97" s="61">
        <v>97.6</v>
      </c>
      <c r="D97" s="62">
        <v>1.3499480789200387</v>
      </c>
    </row>
    <row r="98" spans="2:4">
      <c r="B98">
        <v>2003</v>
      </c>
      <c r="C98" s="61">
        <v>102</v>
      </c>
      <c r="D98" s="62">
        <v>4.5081967213114815</v>
      </c>
    </row>
    <row r="99" spans="2:4">
      <c r="B99">
        <v>2004</v>
      </c>
      <c r="C99" s="61">
        <v>103.3</v>
      </c>
      <c r="D99" s="62">
        <v>1.2745098039215659</v>
      </c>
    </row>
    <row r="100" spans="2:4">
      <c r="B100">
        <v>2005</v>
      </c>
      <c r="C100" s="61">
        <v>105.3</v>
      </c>
      <c r="D100" s="62">
        <v>1.9361084220716358</v>
      </c>
    </row>
    <row r="101" spans="2:4">
      <c r="B101">
        <v>2006</v>
      </c>
      <c r="C101" s="61">
        <v>108.2</v>
      </c>
      <c r="D101" s="62">
        <v>2.7540360873694261</v>
      </c>
    </row>
    <row r="102" spans="2:4">
      <c r="B102">
        <v>2007</v>
      </c>
      <c r="C102" s="61">
        <v>109.4</v>
      </c>
      <c r="D102" s="62">
        <v>1.1090573012939027</v>
      </c>
    </row>
    <row r="103" spans="2:4">
      <c r="B103">
        <v>2008</v>
      </c>
      <c r="C103" s="61">
        <v>111.8</v>
      </c>
      <c r="D103" s="62">
        <v>2.1937842778793337</v>
      </c>
    </row>
    <row r="104" spans="2:4">
      <c r="B104">
        <v>2009</v>
      </c>
      <c r="C104" s="61">
        <v>113</v>
      </c>
      <c r="D104" s="62">
        <v>1.0733452593917736</v>
      </c>
    </row>
    <row r="105" spans="2:4">
      <c r="B105">
        <v>2010</v>
      </c>
      <c r="C105" s="61">
        <v>115.1</v>
      </c>
      <c r="D105" s="62">
        <v>1.8584070796460128</v>
      </c>
    </row>
    <row r="106" spans="2:4">
      <c r="B106">
        <v>2011</v>
      </c>
      <c r="C106" s="61">
        <v>117.8</v>
      </c>
      <c r="D106" s="62">
        <v>2.345786272806258</v>
      </c>
    </row>
    <row r="107" spans="2:4">
      <c r="B107">
        <v>2012</v>
      </c>
      <c r="C107" s="61">
        <v>120.7</v>
      </c>
      <c r="D107" s="62">
        <v>2.4617996604414309</v>
      </c>
    </row>
    <row r="108" spans="2:4">
      <c r="B108">
        <v>2013</v>
      </c>
      <c r="C108" s="61">
        <v>121.3</v>
      </c>
      <c r="D108" s="62">
        <v>0.49710024855011953</v>
      </c>
    </row>
    <row r="109" spans="2:4">
      <c r="B109">
        <v>2014</v>
      </c>
      <c r="C109" s="61">
        <v>123.1</v>
      </c>
      <c r="D109" s="62">
        <v>1.4839241549876316</v>
      </c>
    </row>
    <row r="110" spans="2:4">
      <c r="B110">
        <v>2015</v>
      </c>
      <c r="C110" s="61">
        <v>124.3</v>
      </c>
      <c r="D110" s="62">
        <v>0.97481722177092023</v>
      </c>
    </row>
    <row r="111" spans="2:4">
      <c r="B111">
        <v>2016</v>
      </c>
      <c r="C111" s="61">
        <v>126.8</v>
      </c>
      <c r="D111" s="62">
        <v>2.0112630732099759</v>
      </c>
    </row>
    <row r="112" spans="2:4">
      <c r="B112">
        <v>2017</v>
      </c>
      <c r="C112" s="61">
        <v>129.5</v>
      </c>
      <c r="D112" s="62">
        <v>2.129337539432179</v>
      </c>
    </row>
    <row r="113" spans="2:4">
      <c r="B113">
        <v>2018</v>
      </c>
      <c r="C113" s="61">
        <v>131.69999999999999</v>
      </c>
      <c r="D113" s="62">
        <v>1.6988416988416899</v>
      </c>
    </row>
    <row r="114" spans="2:4">
      <c r="B114">
        <v>2019</v>
      </c>
      <c r="C114" s="61">
        <v>133.6</v>
      </c>
      <c r="D114" s="62">
        <v>1.4426727410782125</v>
      </c>
    </row>
    <row r="115" spans="2:4">
      <c r="B115">
        <v>2020</v>
      </c>
      <c r="C115" s="61">
        <v>136.80000000000001</v>
      </c>
      <c r="D115" s="62">
        <v>2.3952095808383365</v>
      </c>
    </row>
    <row r="116" spans="2:4">
      <c r="B116">
        <v>2021</v>
      </c>
      <c r="C116" s="61">
        <v>138.19999999999999</v>
      </c>
      <c r="D116" s="62">
        <v>1.0233918128654804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Question 4</vt:lpstr>
      <vt:lpstr>Question 5</vt:lpstr>
      <vt:lpstr>PIB trimestriel</vt:lpstr>
      <vt:lpstr>IPC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decah</cp:lastModifiedBy>
  <dcterms:created xsi:type="dcterms:W3CDTF">2020-01-19T22:15:06Z</dcterms:created>
  <dcterms:modified xsi:type="dcterms:W3CDTF">2022-02-19T04:45:17Z</dcterms:modified>
</cp:coreProperties>
</file>