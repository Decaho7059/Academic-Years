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decah\Downloads\"/>
    </mc:Choice>
  </mc:AlternateContent>
  <xr:revisionPtr revIDLastSave="0" documentId="13_ncr:1_{E981A3D4-98C7-4D13-B890-3816A256FB26}" xr6:coauthVersionLast="47" xr6:coauthVersionMax="47" xr10:uidLastSave="{00000000-0000-0000-0000-000000000000}"/>
  <bookViews>
    <workbookView xWindow="-108" yWindow="-108" windowWidth="23256" windowHeight="12576" activeTab="3" xr2:uid="{00000000-000D-0000-FFFF-FFFF00000000}"/>
  </bookViews>
  <sheets>
    <sheet name="Question 4" sheetId="8" r:id="rId1"/>
    <sheet name="Question 5" sheetId="4" r:id="rId2"/>
    <sheet name="PIB trimestriel" sheetId="3" r:id="rId3"/>
    <sheet name="IPC"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7" l="1"/>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W10" i="4"/>
  <c r="W12" i="4"/>
  <c r="W11" i="4"/>
  <c r="R11" i="4"/>
  <c r="T11" i="4"/>
  <c r="J18" i="8"/>
  <c r="I18" i="8"/>
  <c r="J16" i="8"/>
  <c r="I16" i="8"/>
  <c r="T12" i="4"/>
  <c r="T10" i="4"/>
  <c r="R10" i="4"/>
  <c r="R12" i="4"/>
  <c r="J21" i="8"/>
  <c r="J20" i="8"/>
  <c r="I20" i="8"/>
  <c r="J19" i="8"/>
  <c r="J15" i="8"/>
  <c r="J17" i="8"/>
  <c r="I15" i="8"/>
</calcChain>
</file>

<file path=xl/sharedStrings.xml><?xml version="1.0" encoding="utf-8"?>
<sst xmlns="http://schemas.openxmlformats.org/spreadsheetml/2006/main" count="304" uniqueCount="296">
  <si>
    <t>Canada</t>
  </si>
  <si>
    <t>Q1 1961</t>
  </si>
  <si>
    <t>Q2 1961</t>
  </si>
  <si>
    <t>Q3 1961</t>
  </si>
  <si>
    <t>Q4 1961</t>
  </si>
  <si>
    <t>Q1 1962</t>
  </si>
  <si>
    <t>Q2 1962</t>
  </si>
  <si>
    <t>Q3 1962</t>
  </si>
  <si>
    <t>Q4 1962</t>
  </si>
  <si>
    <t>Q1 1963</t>
  </si>
  <si>
    <t>Q2 1963</t>
  </si>
  <si>
    <t>Q3 1963</t>
  </si>
  <si>
    <t>Q4 1963</t>
  </si>
  <si>
    <t>Q1 1964</t>
  </si>
  <si>
    <t>Q2 1964</t>
  </si>
  <si>
    <t>Q3 1964</t>
  </si>
  <si>
    <t>Q4 1964</t>
  </si>
  <si>
    <t>Q1 1965</t>
  </si>
  <si>
    <t>Q2 1965</t>
  </si>
  <si>
    <t>Q3 1965</t>
  </si>
  <si>
    <t>Q4 1965</t>
  </si>
  <si>
    <t>Q1 1966</t>
  </si>
  <si>
    <t>Q2 1966</t>
  </si>
  <si>
    <t>Q3 1966</t>
  </si>
  <si>
    <t>Q4 1966</t>
  </si>
  <si>
    <t>Q1 1967</t>
  </si>
  <si>
    <t>Q2 1967</t>
  </si>
  <si>
    <t>Q3 1967</t>
  </si>
  <si>
    <t>Q4 1967</t>
  </si>
  <si>
    <t>Q1 1968</t>
  </si>
  <si>
    <t>Q2 1968</t>
  </si>
  <si>
    <t>Q3 1968</t>
  </si>
  <si>
    <t>Q4 1968</t>
  </si>
  <si>
    <t>Q1 1969</t>
  </si>
  <si>
    <t>Q2 1969</t>
  </si>
  <si>
    <t>Q3 1969</t>
  </si>
  <si>
    <t>Q4 1969</t>
  </si>
  <si>
    <t>Q1 1970</t>
  </si>
  <si>
    <t>Q2 1970</t>
  </si>
  <si>
    <t>Q3 1970</t>
  </si>
  <si>
    <t>Q4 1970</t>
  </si>
  <si>
    <t>Q1 1971</t>
  </si>
  <si>
    <t>Q2 1971</t>
  </si>
  <si>
    <t>Q3 1971</t>
  </si>
  <si>
    <t>Q4 1971</t>
  </si>
  <si>
    <t>Q1 1972</t>
  </si>
  <si>
    <t>Q2 1972</t>
  </si>
  <si>
    <t>Q3 1972</t>
  </si>
  <si>
    <t>Q4 1972</t>
  </si>
  <si>
    <t>Q1 1973</t>
  </si>
  <si>
    <t>Q2 1973</t>
  </si>
  <si>
    <t>Q3 1973</t>
  </si>
  <si>
    <t>Q4 1973</t>
  </si>
  <si>
    <t>Q1 1974</t>
  </si>
  <si>
    <t>Q2 1974</t>
  </si>
  <si>
    <t>Q3 1974</t>
  </si>
  <si>
    <t>Q4 1974</t>
  </si>
  <si>
    <t>Q1 1975</t>
  </si>
  <si>
    <t>Q2 1975</t>
  </si>
  <si>
    <t>Q3 1975</t>
  </si>
  <si>
    <t>Q4 1975</t>
  </si>
  <si>
    <t>Q1 1976</t>
  </si>
  <si>
    <t>Q2 1976</t>
  </si>
  <si>
    <t>Q3 1976</t>
  </si>
  <si>
    <t>Q4 1976</t>
  </si>
  <si>
    <t>Q1 1977</t>
  </si>
  <si>
    <t>Q2 1977</t>
  </si>
  <si>
    <t>Q3 1977</t>
  </si>
  <si>
    <t>Q4 1977</t>
  </si>
  <si>
    <t>Q1 1978</t>
  </si>
  <si>
    <t>Q2 1978</t>
  </si>
  <si>
    <t>Q3 1978</t>
  </si>
  <si>
    <t>Q4 1978</t>
  </si>
  <si>
    <t>Q1 1979</t>
  </si>
  <si>
    <t>Q2 1979</t>
  </si>
  <si>
    <t>Q3 1979</t>
  </si>
  <si>
    <t>Q4 1979</t>
  </si>
  <si>
    <t>Q1 1980</t>
  </si>
  <si>
    <t>Q2 1980</t>
  </si>
  <si>
    <t>Q3 1980</t>
  </si>
  <si>
    <t>Q4 1980</t>
  </si>
  <si>
    <t>Q1 1981</t>
  </si>
  <si>
    <t>Q2 1981</t>
  </si>
  <si>
    <t>Q3 1981</t>
  </si>
  <si>
    <t>Q4 1981</t>
  </si>
  <si>
    <t>Q1 1982</t>
  </si>
  <si>
    <t>Q2 1982</t>
  </si>
  <si>
    <t>Q3 1982</t>
  </si>
  <si>
    <t>Q4 1982</t>
  </si>
  <si>
    <t>Q1 1983</t>
  </si>
  <si>
    <t>Q2 1983</t>
  </si>
  <si>
    <t>Q3 1983</t>
  </si>
  <si>
    <t>Q4 1983</t>
  </si>
  <si>
    <t>Q1 1984</t>
  </si>
  <si>
    <t>Q2 1984</t>
  </si>
  <si>
    <t>Q3 1984</t>
  </si>
  <si>
    <t>Q4 1984</t>
  </si>
  <si>
    <t>Q1 1985</t>
  </si>
  <si>
    <t>Q2 1985</t>
  </si>
  <si>
    <t>Q3 1985</t>
  </si>
  <si>
    <t>Q4 1985</t>
  </si>
  <si>
    <t>Q1 1986</t>
  </si>
  <si>
    <t>Q2 1986</t>
  </si>
  <si>
    <t>Q3 1986</t>
  </si>
  <si>
    <t>Q4 1986</t>
  </si>
  <si>
    <t>Q1 1987</t>
  </si>
  <si>
    <t>Q2 1987</t>
  </si>
  <si>
    <t>Q3 1987</t>
  </si>
  <si>
    <t>Q4 1987</t>
  </si>
  <si>
    <t>Q1 1988</t>
  </si>
  <si>
    <t>Q2 1988</t>
  </si>
  <si>
    <t>Q3 1988</t>
  </si>
  <si>
    <t>Q4 1988</t>
  </si>
  <si>
    <t>Q1 1989</t>
  </si>
  <si>
    <t>Q2 1989</t>
  </si>
  <si>
    <t>Q3 1989</t>
  </si>
  <si>
    <t>Q4 1989</t>
  </si>
  <si>
    <t>Q1 1990</t>
  </si>
  <si>
    <t>Q2 1990</t>
  </si>
  <si>
    <t>Q3 1990</t>
  </si>
  <si>
    <t>Q4 1990</t>
  </si>
  <si>
    <t>Q1 1991</t>
  </si>
  <si>
    <t>Q2 1991</t>
  </si>
  <si>
    <t>Q3 1991</t>
  </si>
  <si>
    <t>Q4 1991</t>
  </si>
  <si>
    <t>Q1 1992</t>
  </si>
  <si>
    <t>Q2 1992</t>
  </si>
  <si>
    <t>Q3 1992</t>
  </si>
  <si>
    <t>Q4 1992</t>
  </si>
  <si>
    <t>Q1 1993</t>
  </si>
  <si>
    <t>Q2 1993</t>
  </si>
  <si>
    <t>Q3 1993</t>
  </si>
  <si>
    <t>Q4 1993</t>
  </si>
  <si>
    <t>Q1 1994</t>
  </si>
  <si>
    <t>Q2 1994</t>
  </si>
  <si>
    <t>Q3 1994</t>
  </si>
  <si>
    <t>Q4 1994</t>
  </si>
  <si>
    <t>Q1 1995</t>
  </si>
  <si>
    <t>Q2 1995</t>
  </si>
  <si>
    <t>Q3 1995</t>
  </si>
  <si>
    <t>Q4 1995</t>
  </si>
  <si>
    <t>Q1 1996</t>
  </si>
  <si>
    <t>Q2 1996</t>
  </si>
  <si>
    <t>Q3 1996</t>
  </si>
  <si>
    <t>Q4 1996</t>
  </si>
  <si>
    <t>Q1 1997</t>
  </si>
  <si>
    <t>Q2 1997</t>
  </si>
  <si>
    <t>Q3 1997</t>
  </si>
  <si>
    <t>Q4 1997</t>
  </si>
  <si>
    <t>Q1 1998</t>
  </si>
  <si>
    <t>Q2 1998</t>
  </si>
  <si>
    <t>Q3 1998</t>
  </si>
  <si>
    <t>Q4 1998</t>
  </si>
  <si>
    <t>Q1 1999</t>
  </si>
  <si>
    <t>Q2 1999</t>
  </si>
  <si>
    <t>Q3 1999</t>
  </si>
  <si>
    <t>Q4 1999</t>
  </si>
  <si>
    <t>Q1 2000</t>
  </si>
  <si>
    <t>Q2 2000</t>
  </si>
  <si>
    <t>Q3 2000</t>
  </si>
  <si>
    <t>Q4 2000</t>
  </si>
  <si>
    <t>Q1 2001</t>
  </si>
  <si>
    <t>Q2 2001</t>
  </si>
  <si>
    <t>Q3 2001</t>
  </si>
  <si>
    <t>Q4 2001</t>
  </si>
  <si>
    <t>Q1 2002</t>
  </si>
  <si>
    <t>Q2 2002</t>
  </si>
  <si>
    <t>Q3 2002</t>
  </si>
  <si>
    <t>Q4 2002</t>
  </si>
  <si>
    <t>Q1 2003</t>
  </si>
  <si>
    <t>Q2 2003</t>
  </si>
  <si>
    <t>Q3 2003</t>
  </si>
  <si>
    <t>Q4 2003</t>
  </si>
  <si>
    <t>Q1 2004</t>
  </si>
  <si>
    <t>Q2 2004</t>
  </si>
  <si>
    <t>Q3 2004</t>
  </si>
  <si>
    <t>Q4 2004</t>
  </si>
  <si>
    <t>Q1 2005</t>
  </si>
  <si>
    <t>Q2 2005</t>
  </si>
  <si>
    <t>Q3 2005</t>
  </si>
  <si>
    <t>Q4 2005</t>
  </si>
  <si>
    <t>Q1 2006</t>
  </si>
  <si>
    <t>Q2 2006</t>
  </si>
  <si>
    <t>Q3 2006</t>
  </si>
  <si>
    <t>Q4 2006</t>
  </si>
  <si>
    <t>Q1 2007</t>
  </si>
  <si>
    <t>Q2 2007</t>
  </si>
  <si>
    <t>Q3 2007</t>
  </si>
  <si>
    <t>Q4 2007</t>
  </si>
  <si>
    <t>Q1 2008</t>
  </si>
  <si>
    <t>Q2 2008</t>
  </si>
  <si>
    <t>Q3 2008</t>
  </si>
  <si>
    <t>Q4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</si>
  <si>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</si>
  <si>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</si>
  <si>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</si>
  <si>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</si>
  <si>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</si>
  <si>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</si>
  <si>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</si>
  <si>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</si>
  <si>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</si>
  <si>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</si>
  <si>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</si>
  <si>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</si>
  <si>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</si>
  <si>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</si>
  <si>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</si>
  <si>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</si>
  <si>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</si>
  <si>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</si>
  <si>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</si>
  <si>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</si>
  <si>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</si>
  <si>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</si>
  <si>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</si>
  <si>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</si>
  <si>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</si>
  <si>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</si>
  <si>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</si>
  <si>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</si>
  <si>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</si>
  <si>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</si>
  <si>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</si>
  <si>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</si>
  <si>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</si>
  <si>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</si>
  <si>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</si>
  <si>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</si>
  <si>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</si>
  <si>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</si>
  <si>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</si>
  <si>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</si>
  <si>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PIB par les dépenses</t>
  </si>
  <si>
    <t>Variations trimestrielles en %.</t>
  </si>
  <si>
    <t>vide</t>
  </si>
  <si>
    <t>Période</t>
  </si>
  <si>
    <t>Enchainés dollars de 2012</t>
  </si>
  <si>
    <t>Q2 2019</t>
  </si>
  <si>
    <t>Q3 2019</t>
  </si>
  <si>
    <t>Q4 2019</t>
  </si>
  <si>
    <t>Années</t>
  </si>
  <si>
    <t>Prix (en $)</t>
  </si>
  <si>
    <t>Ordinateurs</t>
  </si>
  <si>
    <t>Q1 2019</t>
  </si>
  <si>
    <t>Année</t>
  </si>
  <si>
    <t xml:space="preserve">ajusté pour les effets des saisons </t>
  </si>
  <si>
    <t>Estimations</t>
  </si>
  <si>
    <t>Q1 2020</t>
  </si>
  <si>
    <t>Q2 2020</t>
  </si>
  <si>
    <t>Q3 2020</t>
  </si>
  <si>
    <t>Q4 2020</t>
  </si>
  <si>
    <t>Q1 2021</t>
  </si>
  <si>
    <t>Q2 2021</t>
  </si>
  <si>
    <t>Q3 2021</t>
  </si>
  <si>
    <t>IPC</t>
  </si>
  <si>
    <t>Vide</t>
  </si>
  <si>
    <t>Quantités (en millions)</t>
  </si>
  <si>
    <t>Boissons énergétiques</t>
  </si>
  <si>
    <t>Quantité (en millions)</t>
  </si>
  <si>
    <t>Variation annuelle (voir la formule à la page 118 du manuel)</t>
  </si>
  <si>
    <t>T-shirts</t>
  </si>
  <si>
    <t xml:space="preserve">Prix (en $) </t>
  </si>
  <si>
    <t>Boissons énergétiques (cannettes)</t>
  </si>
  <si>
    <t xml:space="preserve">Quantité </t>
  </si>
  <si>
    <t xml:space="preserve">Pizza (morceaux) </t>
  </si>
  <si>
    <t>1,00</t>
  </si>
  <si>
    <t xml:space="preserve">a) </t>
  </si>
  <si>
    <t>a)</t>
  </si>
  <si>
    <t>b)</t>
  </si>
  <si>
    <t>c)</t>
  </si>
  <si>
    <t>d)</t>
  </si>
  <si>
    <t>e)</t>
  </si>
  <si>
    <t>g)</t>
  </si>
  <si>
    <t>f)</t>
  </si>
  <si>
    <t xml:space="preserve">Insérez votre réponse dans la cellule en jaune. </t>
  </si>
  <si>
    <t>Calculez le PIB nominal pour 2013 et 2014.</t>
  </si>
  <si>
    <t xml:space="preserve">Calculez le PIB réel pour 2013 et 2014 en utilisant 2013 comme année de base. </t>
  </si>
  <si>
    <t xml:space="preserve">À partir de votre réponse à la question précédente (b), calculez le pourcentage de croissance du PIB réel entre 2013 et 2014. </t>
  </si>
  <si>
    <t xml:space="preserve">Maintenant, calculez le PIB réel pour 2013 et 2014 en utilisant 2014 comme année de base. </t>
  </si>
  <si>
    <t xml:space="preserve">À partir de votre réponse à la question précédente (d), calculez le pourcentage de croissance du PIB réel entre 2013 et 2014. </t>
  </si>
  <si>
    <t xml:space="preserve">Quel est le déflateur du PIB en 2013 et 2014 si on prend 2013 comme année de base? </t>
  </si>
  <si>
    <t>À partir de votre réponse à la question précédente (f), calculez le pourcentage de variation des prix entre 2013 et 2014.</t>
  </si>
  <si>
    <t xml:space="preserve">Un petit pays, la Sylvanie, ne produit et ne consomme que trois biens : des T-shirts, des boissons énergétiques et des morceaux de pizza. Le tableau suivant donne la quantité produite et le prix de chacun de ces biens en 2013 et 2014 : </t>
  </si>
  <si>
    <t xml:space="preserve">Supposons que les ordinateurs portables, les manuels d’économique et les boissons énergétiques sont les trois seuls biens et services produits au Canada. Le tableau donne la quantité de chaque produit (en millions) et leur prix pour les années 2019, 2020 et 2021. </t>
  </si>
  <si>
    <t xml:space="preserve">b) </t>
  </si>
  <si>
    <t xml:space="preserve">Calculez le PIB nominal et le PIB réel (en prenant 2019 comme année de base) pour chaque année. </t>
  </si>
  <si>
    <t xml:space="preserve">Calculez le PIB réel pour 2020 et 2021 à l’aide de la méthode des dollars enchaînés. Nous n'avons pas couvert cette méthode de calculer le PIB réel en classe et elle n'apparait pas dans le manuel. C'est à vous, par vos recherches, de découvrir cette méthode et de l'appliquer à ces chiffres.  En passant, c'est la méthode qui est désormais utilisée par les agences statistiques de plsuieurs pays pour calculer leur PIB réel. </t>
  </si>
  <si>
    <t>(a)</t>
  </si>
  <si>
    <t>(b)</t>
  </si>
  <si>
    <t>Laissez en blanc</t>
  </si>
  <si>
    <t xml:space="preserve">Quantités (en millions) </t>
  </si>
  <si>
    <t>Manuels d'économique</t>
  </si>
  <si>
    <t>PIB nominal en millions</t>
  </si>
  <si>
    <t>PIB réel avec année de base 2019 en millions</t>
  </si>
  <si>
    <t>PIB réel avec la méthode des dollars echaînés. En millions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</si>
</sst>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_ ;_ * \(#,##0.00\)_ ;_ * &quot;-&quot;??_)_ ;_ @_ "/>
    <numFmt numFmtId="164" formatCode="_(&quot;$&quot;* #,##0.00_);_(&quot;$&quot;* \(#,##0.00\);_(&quot;$&quot;* &quot;-&quot;??_);_(@_)"/>
    <numFmt numFmtId="165" formatCode="0.0%"/>
    <numFmt numFmtId="166" formatCode="_(&quot;$&quot;* #,##0_);_(&quot;$&quot;* \(#,##0\);_(&quot;$&quot;* &quot;-&quot;??_);_(@_)"/>
    <numFmt numFmtId="167" formatCode="_ * #,##0.00_)\ _$_ ;_ * \(#,##0.00\)\ _$_ ;_ * &quot;-&quot;??_)\ _$_ ;_ @_ "/>
  </numFmts>
  <fonts count="33">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
      <sz val="8"/>
      <name val="Calibri"/>
      <family val="2"/>
      <scheme val="minor"/>
    </font>
    <font>
      <sz val="18"/>
      <color theme="1"/>
      <name val="Sorts Mill Goudy Regular"/>
    </font>
    <font>
      <b/>
      <sz val="20"/>
      <color theme="0"/>
      <name val="Sorts Mill Goudy Regular"/>
    </font>
    <font>
      <sz val="24"/>
      <color theme="1"/>
      <name val="Sorts Mill Goudy Regular"/>
    </font>
    <font>
      <sz val="18"/>
      <color theme="0"/>
      <name val="Sorts Mill Goudy Regular"/>
    </font>
    <font>
      <b/>
      <sz val="24"/>
      <color rgb="FFFF0000"/>
      <name val="Sorts Mill Goudy Regular"/>
    </font>
    <font>
      <u/>
      <sz val="22"/>
      <color theme="0"/>
      <name val="Sorts Mill Goudy Regular"/>
    </font>
    <font>
      <sz val="11"/>
      <color theme="1"/>
      <name val="Calibri"/>
      <family val="2"/>
      <scheme val="minor"/>
    </font>
    <font>
      <b/>
      <sz val="11"/>
      <color theme="1"/>
      <name val="Calibri"/>
      <family val="2"/>
      <scheme val="minor"/>
    </font>
    <font>
      <sz val="11"/>
      <color theme="1"/>
      <name val="TimesNewRomanPSMT"/>
    </font>
    <font>
      <sz val="14"/>
      <color theme="1"/>
      <name val="Calibri"/>
      <family val="2"/>
      <scheme val="minor"/>
    </font>
    <font>
      <sz val="18"/>
      <color theme="1"/>
      <name val="TimesNewRomanPSMT"/>
    </font>
    <font>
      <sz val="20"/>
      <color theme="1"/>
      <name val="Sorts Mill Goudy Regular"/>
    </font>
    <font>
      <b/>
      <sz val="18"/>
      <color theme="1"/>
      <name val="Sorts Mill Goudy Regula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7030A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s>
  <cellStyleXfs count="45">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62">
    <xf numFmtId="0" fontId="0" fillId="0" borderId="0" xfId="0"/>
    <xf numFmtId="0" fontId="0" fillId="0" borderId="0" xfId="0" applyFill="1"/>
    <xf numFmtId="0" fontId="0" fillId="0" borderId="0" xfId="0" applyFill="1" applyAlignment="1">
      <alignment wrapText="1"/>
    </xf>
    <xf numFmtId="0" fontId="0" fillId="0" borderId="0" xfId="0" applyFill="1" applyAlignment="1">
      <alignment vertical="center"/>
    </xf>
    <xf numFmtId="0" fontId="0" fillId="0" borderId="0" xfId="0" applyFill="1" applyAlignment="1">
      <alignment horizontal="center" wrapText="1"/>
    </xf>
    <xf numFmtId="0" fontId="18" fillId="33" borderId="0" xfId="0" applyFont="1" applyFill="1" applyAlignment="1">
      <alignment horizontal="center" vertical="center"/>
    </xf>
    <xf numFmtId="165" fontId="0" fillId="0" borderId="0" xfId="1" applyNumberFormat="1" applyFont="1" applyFill="1" applyAlignment="1">
      <alignment vertical="center"/>
    </xf>
    <xf numFmtId="0" fontId="20" fillId="0" borderId="0" xfId="0" applyFont="1"/>
    <xf numFmtId="0" fontId="20" fillId="0" borderId="0" xfId="0" applyFont="1" applyAlignment="1">
      <alignment horizontal="center"/>
    </xf>
    <xf numFmtId="0" fontId="21" fillId="34" borderId="0" xfId="0" applyFont="1" applyFill="1" applyAlignment="1">
      <alignment horizontal="center" vertical="top"/>
    </xf>
    <xf numFmtId="0" fontId="21" fillId="34" borderId="0" xfId="0" applyFont="1" applyFill="1" applyAlignment="1">
      <alignment vertical="top"/>
    </xf>
    <xf numFmtId="0" fontId="21" fillId="34" borderId="0" xfId="0" applyFont="1" applyFill="1" applyAlignment="1">
      <alignment horizontal="center" vertical="top" wrapText="1"/>
    </xf>
    <xf numFmtId="0" fontId="20" fillId="0" borderId="0" xfId="0" applyFont="1" applyAlignment="1">
      <alignment vertical="center"/>
    </xf>
    <xf numFmtId="0" fontId="22" fillId="0" borderId="13" xfId="0" applyFont="1" applyBorder="1" applyAlignment="1">
      <alignment horizontal="center" vertical="center"/>
    </xf>
    <xf numFmtId="0" fontId="22" fillId="0" borderId="10" xfId="0" applyFont="1" applyBorder="1" applyAlignment="1">
      <alignment vertical="center"/>
    </xf>
    <xf numFmtId="2" fontId="22" fillId="0" borderId="13" xfId="0" applyNumberFormat="1" applyFont="1" applyBorder="1" applyAlignment="1">
      <alignment horizontal="center" vertical="center"/>
    </xf>
    <xf numFmtId="0" fontId="22" fillId="0" borderId="10" xfId="0" applyFont="1" applyBorder="1" applyAlignment="1">
      <alignment horizontal="center" vertical="center"/>
    </xf>
    <xf numFmtId="0" fontId="22" fillId="0" borderId="12" xfId="0" applyFont="1" applyBorder="1" applyAlignment="1">
      <alignment horizontal="center" vertical="center"/>
    </xf>
    <xf numFmtId="0" fontId="22" fillId="0" borderId="11" xfId="0" applyFont="1" applyBorder="1" applyAlignment="1">
      <alignment vertical="center"/>
    </xf>
    <xf numFmtId="2" fontId="22" fillId="0" borderId="12" xfId="0" applyNumberFormat="1" applyFont="1" applyBorder="1" applyAlignment="1">
      <alignment horizontal="center" vertical="center"/>
    </xf>
    <xf numFmtId="0" fontId="22" fillId="0" borderId="11" xfId="0" applyFont="1" applyBorder="1" applyAlignment="1">
      <alignment horizontal="center" vertical="center"/>
    </xf>
    <xf numFmtId="0" fontId="23" fillId="34" borderId="0" xfId="0" applyFont="1" applyFill="1" applyAlignment="1">
      <alignment horizontal="center"/>
    </xf>
    <xf numFmtId="0" fontId="23" fillId="34" borderId="0" xfId="0" applyFont="1" applyFill="1"/>
    <xf numFmtId="0" fontId="20" fillId="0" borderId="0" xfId="0" applyFont="1" applyAlignment="1">
      <alignment horizontal="center" vertical="top" wrapText="1"/>
    </xf>
    <xf numFmtId="165" fontId="24" fillId="0" borderId="0" xfId="1" applyNumberFormat="1" applyFont="1" applyAlignment="1">
      <alignment vertical="center"/>
    </xf>
    <xf numFmtId="3" fontId="0" fillId="0" borderId="0" xfId="0" applyNumberFormat="1"/>
    <xf numFmtId="166" fontId="24" fillId="0" borderId="15" xfId="43" applyNumberFormat="1" applyFont="1" applyBorder="1" applyAlignment="1">
      <alignment vertical="center"/>
    </xf>
    <xf numFmtId="0" fontId="22" fillId="0" borderId="15" xfId="0" applyFont="1" applyBorder="1" applyAlignment="1">
      <alignment horizontal="center" vertical="center"/>
    </xf>
    <xf numFmtId="0" fontId="20" fillId="0" borderId="0" xfId="0" applyFont="1" applyBorder="1"/>
    <xf numFmtId="0" fontId="22" fillId="0" borderId="0" xfId="0" applyFont="1" applyBorder="1" applyAlignment="1">
      <alignment horizontal="center" vertical="center"/>
    </xf>
    <xf numFmtId="3" fontId="0" fillId="0" borderId="0" xfId="0" applyNumberFormat="1" applyFill="1"/>
    <xf numFmtId="0" fontId="0" fillId="0" borderId="0" xfId="0" applyAlignment="1">
      <alignment horizontal="center"/>
    </xf>
    <xf numFmtId="0" fontId="0" fillId="0" borderId="0" xfId="0" applyAlignment="1">
      <alignment horizontal="center" vertical="top"/>
    </xf>
    <xf numFmtId="0" fontId="0" fillId="0" borderId="0" xfId="0" applyAlignment="1">
      <alignment horizontal="center" vertical="top" wrapText="1"/>
    </xf>
    <xf numFmtId="1" fontId="22" fillId="0" borderId="15" xfId="0" applyNumberFormat="1" applyFont="1" applyBorder="1" applyAlignment="1">
      <alignment horizontal="center" vertical="center"/>
    </xf>
    <xf numFmtId="1" fontId="22" fillId="0" borderId="14" xfId="0" applyNumberFormat="1" applyFont="1" applyBorder="1" applyAlignment="1">
      <alignment horizontal="center" vertical="center"/>
    </xf>
    <xf numFmtId="0" fontId="26" fillId="0" borderId="0" xfId="0" applyFont="1"/>
    <xf numFmtId="0" fontId="0" fillId="0" borderId="0" xfId="0" applyAlignment="1">
      <alignment vertical="center"/>
    </xf>
    <xf numFmtId="0" fontId="26" fillId="0" borderId="15" xfId="0" applyFont="1" applyBorder="1" applyAlignment="1">
      <alignment vertical="center"/>
    </xf>
    <xf numFmtId="0" fontId="0" fillId="0" borderId="15" xfId="0" applyBorder="1" applyAlignment="1">
      <alignment vertical="center"/>
    </xf>
    <xf numFmtId="0" fontId="27" fillId="0" borderId="15" xfId="0" applyFont="1" applyBorder="1" applyAlignment="1">
      <alignment horizontal="center" vertical="center"/>
    </xf>
    <xf numFmtId="0" fontId="16" fillId="0" borderId="15" xfId="0" applyFont="1" applyBorder="1" applyAlignment="1">
      <alignment horizontal="center" vertical="center"/>
    </xf>
    <xf numFmtId="0" fontId="0" fillId="0" borderId="15" xfId="0" applyBorder="1" applyAlignment="1">
      <alignment horizontal="center" vertical="center"/>
    </xf>
    <xf numFmtId="2" fontId="0" fillId="0" borderId="15" xfId="0" applyNumberFormat="1" applyBorder="1" applyAlignment="1">
      <alignment horizontal="center" vertical="center"/>
    </xf>
    <xf numFmtId="0" fontId="26" fillId="33" borderId="15" xfId="0" applyFont="1" applyFill="1" applyBorder="1"/>
    <xf numFmtId="0" fontId="29" fillId="0" borderId="0" xfId="0" applyFont="1" applyAlignment="1">
      <alignment vertical="center"/>
    </xf>
    <xf numFmtId="0" fontId="31" fillId="0" borderId="0" xfId="0" applyFont="1" applyAlignment="1">
      <alignment horizontal="left" vertical="top"/>
    </xf>
    <xf numFmtId="0" fontId="32" fillId="0" borderId="0" xfId="0" applyFont="1" applyAlignment="1"/>
    <xf numFmtId="0" fontId="32" fillId="0" borderId="0" xfId="0" applyFont="1" applyAlignment="1">
      <alignment horizontal="center"/>
    </xf>
    <xf numFmtId="0" fontId="0" fillId="33" borderId="15" xfId="0" applyFill="1" applyBorder="1"/>
    <xf numFmtId="0" fontId="26" fillId="0" borderId="15" xfId="0" applyFont="1" applyFill="1" applyBorder="1" applyAlignment="1">
      <alignment horizontal="center" vertical="center"/>
    </xf>
    <xf numFmtId="43" fontId="26" fillId="33" borderId="15" xfId="44" applyFont="1" applyFill="1" applyBorder="1"/>
    <xf numFmtId="0" fontId="26" fillId="33" borderId="15" xfId="1" applyNumberFormat="1" applyFont="1" applyFill="1" applyBorder="1"/>
    <xf numFmtId="167" fontId="26" fillId="33" borderId="15" xfId="0" applyNumberFormat="1" applyFont="1" applyFill="1" applyBorder="1"/>
    <xf numFmtId="0" fontId="16" fillId="0" borderId="15" xfId="0" applyFont="1" applyBorder="1" applyAlignment="1">
      <alignment horizontal="center" vertical="center"/>
    </xf>
    <xf numFmtId="0" fontId="0" fillId="0" borderId="15" xfId="0" applyBorder="1" applyAlignment="1">
      <alignment horizontal="center"/>
    </xf>
    <xf numFmtId="0" fontId="30" fillId="0" borderId="0" xfId="0" applyFont="1" applyAlignment="1">
      <alignment horizontal="left" vertical="top" wrapText="1"/>
    </xf>
    <xf numFmtId="0" fontId="28" fillId="0" borderId="0" xfId="0" applyFont="1" applyAlignment="1">
      <alignment horizontal="left" vertical="top" wrapText="1"/>
    </xf>
    <xf numFmtId="0" fontId="20" fillId="0" borderId="0" xfId="0" applyFont="1" applyAlignment="1">
      <alignment horizontal="center" vertical="top" wrapText="1"/>
    </xf>
    <xf numFmtId="0" fontId="31" fillId="0" borderId="0" xfId="0" applyFont="1" applyAlignment="1">
      <alignment horizontal="left" vertical="top" wrapText="1"/>
    </xf>
    <xf numFmtId="0" fontId="25" fillId="34" borderId="0" xfId="0" applyFont="1" applyFill="1" applyAlignment="1">
      <alignment horizontal="center" vertical="top"/>
    </xf>
    <xf numFmtId="0" fontId="20" fillId="0" borderId="0" xfId="0" applyFont="1" applyAlignment="1">
      <alignment horizontal="center" vertical="top"/>
    </xf>
  </cellXfs>
  <cellStyles count="45">
    <cellStyle name="20 % - Accent1" xfId="20" builtinId="30" customBuiltin="1"/>
    <cellStyle name="20 % - Accent2" xfId="24" builtinId="34" customBuiltin="1"/>
    <cellStyle name="20 % - Accent3" xfId="28" builtinId="38" customBuiltin="1"/>
    <cellStyle name="20 % - Accent4" xfId="32" builtinId="42" customBuiltin="1"/>
    <cellStyle name="20 % - Accent5" xfId="36" builtinId="46" customBuiltin="1"/>
    <cellStyle name="20 % - Accent6" xfId="40" builtinId="50" customBuiltin="1"/>
    <cellStyle name="40 % - Accent1" xfId="21" builtinId="31" customBuiltin="1"/>
    <cellStyle name="40 % - Accent2" xfId="25" builtinId="35" customBuiltin="1"/>
    <cellStyle name="40 % - Accent3" xfId="29" builtinId="39" customBuiltin="1"/>
    <cellStyle name="40 % - Accent4" xfId="33" builtinId="43" customBuiltin="1"/>
    <cellStyle name="40 % - Accent5" xfId="37" builtinId="47" customBuiltin="1"/>
    <cellStyle name="40 % - Accent6" xfId="41" builtinId="51" customBuiltin="1"/>
    <cellStyle name="60 % - Accent1" xfId="22" builtinId="32" customBuiltin="1"/>
    <cellStyle name="60 % - Accent2" xfId="26" builtinId="36" customBuiltin="1"/>
    <cellStyle name="60 % - Accent3" xfId="30" builtinId="40" customBuiltin="1"/>
    <cellStyle name="60 % - Accent4" xfId="34" builtinId="44" customBuiltin="1"/>
    <cellStyle name="60 % - Accent5" xfId="38" builtinId="48" customBuiltin="1"/>
    <cellStyle name="60 %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Avertissement" xfId="15" builtinId="11" customBuiltin="1"/>
    <cellStyle name="Calcul" xfId="12" builtinId="22" customBuiltin="1"/>
    <cellStyle name="Cellule liée" xfId="13" builtinId="24" customBuiltin="1"/>
    <cellStyle name="Entrée" xfId="10" builtinId="20" customBuiltin="1"/>
    <cellStyle name="Insatisfaisant" xfId="8" builtinId="27" customBuiltin="1"/>
    <cellStyle name="Milliers" xfId="44" builtinId="3"/>
    <cellStyle name="Monétaire" xfId="43" builtinId="4"/>
    <cellStyle name="Neutre" xfId="9" builtinId="28" customBuiltin="1"/>
    <cellStyle name="Normal" xfId="0" builtinId="0"/>
    <cellStyle name="Note" xfId="16" builtinId="10" customBuiltin="1"/>
    <cellStyle name="Pourcentage" xfId="1" builtinId="5"/>
    <cellStyle name="Satisfaisant" xfId="7" builtinId="26" customBuiltin="1"/>
    <cellStyle name="Sortie" xfId="11" builtinId="21" customBuiltin="1"/>
    <cellStyle name="Texte explicatif" xfId="17" builtinId="53" customBuiltin="1"/>
    <cellStyle name="Titre" xfId="2" builtinId="15" customBuiltin="1"/>
    <cellStyle name="Titre 1" xfId="3" builtinId="16" customBuiltin="1"/>
    <cellStyle name="Titre 2" xfId="4" builtinId="17" customBuiltin="1"/>
    <cellStyle name="Titre 3" xfId="5" builtinId="18" customBuiltin="1"/>
    <cellStyle name="Titre 4" xfId="6" builtinId="19" customBuiltin="1"/>
    <cellStyle name="Total" xfId="18" builtinId="25" customBuiltin="1"/>
    <cellStyle name="Vérification" xfId="14"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CFA04-3F26-3349-8994-1A20D560FA92}">
  <dimension ref="A2:J25"/>
  <sheetViews>
    <sheetView zoomScale="70" zoomScaleNormal="70" workbookViewId="0">
      <selection activeCell="J19" sqref="J19"/>
    </sheetView>
  </sheetViews>
  <sheetFormatPr baseColWidth="10" defaultRowHeight="15.6"/>
  <cols>
    <col min="1" max="1" width="4.19921875" customWidth="1"/>
    <col min="2" max="2" width="32.19921875" customWidth="1"/>
    <col min="7" max="7" width="4.796875" customWidth="1"/>
    <col min="8" max="8" width="48.69921875" customWidth="1"/>
    <col min="9" max="9" width="24" customWidth="1"/>
    <col min="10" max="10" width="23.796875" customWidth="1"/>
  </cols>
  <sheetData>
    <row r="2" spans="1:10" ht="91.05" customHeight="1">
      <c r="B2" s="56" t="s">
        <v>283</v>
      </c>
      <c r="C2" s="57"/>
      <c r="D2" s="57"/>
      <c r="E2" s="57"/>
      <c r="F2" s="57"/>
    </row>
    <row r="3" spans="1:10">
      <c r="B3" s="57"/>
      <c r="C3" s="57"/>
      <c r="D3" s="57"/>
      <c r="E3" s="57"/>
      <c r="F3" s="57"/>
    </row>
    <row r="4" spans="1:10">
      <c r="B4" s="57"/>
      <c r="C4" s="57"/>
      <c r="D4" s="57"/>
      <c r="E4" s="57"/>
      <c r="F4" s="57"/>
    </row>
    <row r="6" spans="1:10" s="37" customFormat="1" ht="25.05" customHeight="1">
      <c r="B6" s="55"/>
      <c r="C6" s="54">
        <v>2013</v>
      </c>
      <c r="D6" s="54"/>
      <c r="E6" s="54">
        <v>2014</v>
      </c>
      <c r="F6" s="54"/>
    </row>
    <row r="7" spans="1:10" s="37" customFormat="1" ht="28.95" customHeight="1">
      <c r="B7" s="55"/>
      <c r="C7" s="40" t="s">
        <v>264</v>
      </c>
      <c r="D7" s="41" t="s">
        <v>262</v>
      </c>
      <c r="E7" s="40" t="s">
        <v>264</v>
      </c>
      <c r="F7" s="41" t="s">
        <v>262</v>
      </c>
    </row>
    <row r="8" spans="1:10" s="37" customFormat="1" ht="28.95" customHeight="1">
      <c r="B8" s="38" t="s">
        <v>261</v>
      </c>
      <c r="C8" s="42">
        <v>100</v>
      </c>
      <c r="D8" s="43">
        <v>25</v>
      </c>
      <c r="E8" s="42">
        <v>110</v>
      </c>
      <c r="F8" s="43">
        <v>25</v>
      </c>
    </row>
    <row r="9" spans="1:10" s="37" customFormat="1" ht="28.95" customHeight="1">
      <c r="B9" s="38" t="s">
        <v>263</v>
      </c>
      <c r="C9" s="42">
        <v>500</v>
      </c>
      <c r="D9" s="43" t="s">
        <v>266</v>
      </c>
      <c r="E9" s="42">
        <v>500</v>
      </c>
      <c r="F9" s="43">
        <v>1.5</v>
      </c>
    </row>
    <row r="10" spans="1:10" s="37" customFormat="1" ht="28.95" customHeight="1">
      <c r="B10" s="39" t="s">
        <v>265</v>
      </c>
      <c r="C10" s="42">
        <v>1000</v>
      </c>
      <c r="D10" s="43">
        <v>2</v>
      </c>
      <c r="E10" s="42">
        <v>900</v>
      </c>
      <c r="F10" s="43">
        <v>4</v>
      </c>
    </row>
    <row r="12" spans="1:10">
      <c r="I12" t="s">
        <v>275</v>
      </c>
    </row>
    <row r="13" spans="1:10">
      <c r="B13" s="36"/>
    </row>
    <row r="14" spans="1:10">
      <c r="A14" s="37"/>
      <c r="B14" s="37"/>
      <c r="C14" s="37"/>
      <c r="D14" s="37"/>
      <c r="E14" s="37"/>
      <c r="F14" s="37"/>
      <c r="G14" s="37"/>
      <c r="H14" s="37"/>
      <c r="I14" s="31">
        <v>2013</v>
      </c>
      <c r="J14" s="31">
        <v>2014</v>
      </c>
    </row>
    <row r="15" spans="1:10" ht="25.05" customHeight="1">
      <c r="A15" s="45" t="s">
        <v>268</v>
      </c>
      <c r="B15" s="45" t="s">
        <v>276</v>
      </c>
      <c r="C15" s="45"/>
      <c r="D15" s="45"/>
      <c r="E15" s="45"/>
      <c r="F15" s="45"/>
      <c r="G15" s="45"/>
      <c r="H15" s="45"/>
      <c r="I15" s="44">
        <f>(C8*D8)+(C9*D9)+(C10*D10)</f>
        <v>5000</v>
      </c>
      <c r="J15" s="49">
        <f>(E8*F8)+(E9*F9)+(E10*F10)</f>
        <v>7100</v>
      </c>
    </row>
    <row r="16" spans="1:10" ht="25.05" customHeight="1">
      <c r="A16" s="45" t="s">
        <v>269</v>
      </c>
      <c r="B16" s="45" t="s">
        <v>277</v>
      </c>
      <c r="C16" s="45"/>
      <c r="D16" s="45"/>
      <c r="E16" s="45"/>
      <c r="F16" s="45"/>
      <c r="G16" s="45"/>
      <c r="H16" s="45"/>
      <c r="I16" s="44">
        <f>(C8*D8)+(C9*D9)+(C10*D10)</f>
        <v>5000</v>
      </c>
      <c r="J16" s="49">
        <f>(E8*D8)+(E9*D9)+(E10*D10)</f>
        <v>5050</v>
      </c>
    </row>
    <row r="17" spans="1:10" ht="25.05" customHeight="1">
      <c r="A17" s="45" t="s">
        <v>270</v>
      </c>
      <c r="B17" s="45" t="s">
        <v>278</v>
      </c>
      <c r="C17" s="45"/>
      <c r="D17" s="45"/>
      <c r="E17" s="45"/>
      <c r="F17" s="45"/>
      <c r="G17" s="45"/>
      <c r="H17" s="45"/>
      <c r="I17" s="50" t="s">
        <v>290</v>
      </c>
      <c r="J17" s="49">
        <f>(J16/I16) - 1</f>
        <v>1.0000000000000009E-2</v>
      </c>
    </row>
    <row r="18" spans="1:10" ht="25.05" customHeight="1">
      <c r="A18" s="45" t="s">
        <v>271</v>
      </c>
      <c r="B18" s="45" t="s">
        <v>279</v>
      </c>
      <c r="C18" s="45"/>
      <c r="D18" s="45"/>
      <c r="E18" s="45"/>
      <c r="F18" s="45"/>
      <c r="G18" s="45"/>
      <c r="H18" s="45"/>
      <c r="I18" s="44">
        <f>(C8*F8)+(C9*F9)+(C10*F10)</f>
        <v>7250</v>
      </c>
      <c r="J18" s="44">
        <f>(E8*F8)+(E9*F9)+(E10*F10)</f>
        <v>7100</v>
      </c>
    </row>
    <row r="19" spans="1:10" ht="25.05" customHeight="1">
      <c r="A19" s="45" t="s">
        <v>272</v>
      </c>
      <c r="B19" s="45" t="s">
        <v>280</v>
      </c>
      <c r="C19" s="45"/>
      <c r="D19" s="45"/>
      <c r="E19" s="45"/>
      <c r="F19" s="45"/>
      <c r="G19" s="45"/>
      <c r="H19" s="45"/>
      <c r="I19" s="50" t="s">
        <v>290</v>
      </c>
      <c r="J19" s="52">
        <f>(J18/I18)-1</f>
        <v>-2.0689655172413834E-2</v>
      </c>
    </row>
    <row r="20" spans="1:10" ht="25.05" customHeight="1">
      <c r="A20" s="45" t="s">
        <v>274</v>
      </c>
      <c r="B20" s="45" t="s">
        <v>281</v>
      </c>
      <c r="C20" s="45"/>
      <c r="D20" s="45"/>
      <c r="E20" s="45"/>
      <c r="F20" s="45"/>
      <c r="G20" s="45"/>
      <c r="H20" s="45"/>
      <c r="I20" s="44">
        <f>(I15/I16)*100</f>
        <v>100</v>
      </c>
      <c r="J20" s="51">
        <f>(J15/J16)*100</f>
        <v>140.59405940594058</v>
      </c>
    </row>
    <row r="21" spans="1:10" ht="25.05" customHeight="1">
      <c r="A21" s="45" t="s">
        <v>273</v>
      </c>
      <c r="B21" s="45" t="s">
        <v>282</v>
      </c>
      <c r="C21" s="45"/>
      <c r="D21" s="45"/>
      <c r="E21" s="45"/>
      <c r="F21" s="45"/>
      <c r="G21" s="45"/>
      <c r="H21" s="45"/>
      <c r="I21" s="50" t="s">
        <v>290</v>
      </c>
      <c r="J21" s="53">
        <f>((J20-I20)/I20)*100</f>
        <v>40.594059405940584</v>
      </c>
    </row>
    <row r="22" spans="1:10">
      <c r="A22" s="36"/>
      <c r="B22" s="36"/>
      <c r="C22" s="36"/>
      <c r="D22" s="36"/>
      <c r="E22" s="36"/>
      <c r="F22" s="36"/>
      <c r="G22" s="36"/>
      <c r="H22" s="36"/>
      <c r="I22" s="36"/>
    </row>
    <row r="23" spans="1:10">
      <c r="A23" s="36"/>
      <c r="B23" s="36"/>
      <c r="C23" s="36"/>
      <c r="D23" s="36"/>
      <c r="E23" s="36"/>
      <c r="F23" s="36"/>
      <c r="G23" s="36"/>
      <c r="H23" s="36"/>
      <c r="I23" s="36"/>
    </row>
    <row r="25" spans="1:10">
      <c r="B25" s="36"/>
    </row>
  </sheetData>
  <mergeCells count="4">
    <mergeCell ref="C6:D6"/>
    <mergeCell ref="E6:F6"/>
    <mergeCell ref="B6:B7"/>
    <mergeCell ref="B2: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7D48-D480-7E43-948B-F07C30A982D4}">
  <dimension ref="E3:W21"/>
  <sheetViews>
    <sheetView topLeftCell="A4" zoomScale="50" zoomScaleNormal="50" workbookViewId="0">
      <selection activeCell="Y12" sqref="Y12"/>
    </sheetView>
  </sheetViews>
  <sheetFormatPr baseColWidth="10" defaultColWidth="10.796875" defaultRowHeight="22.8"/>
  <cols>
    <col min="1" max="4" width="10.796875" style="7"/>
    <col min="5" max="5" width="15.5" style="8" customWidth="1"/>
    <col min="6" max="6" width="2.296875" style="7" customWidth="1"/>
    <col min="7" max="7" width="20.69921875" style="7" customWidth="1"/>
    <col min="8" max="8" width="25" style="7" customWidth="1"/>
    <col min="9" max="9" width="2.296875" style="7" customWidth="1"/>
    <col min="10" max="10" width="18.19921875" style="7" customWidth="1"/>
    <col min="11" max="11" width="21.296875" style="7" customWidth="1"/>
    <col min="12" max="12" width="1.296875" style="7" customWidth="1"/>
    <col min="13" max="13" width="17.796875" style="7" customWidth="1"/>
    <col min="14" max="14" width="23.19921875" style="7" customWidth="1"/>
    <col min="15" max="15" width="10.796875" style="7"/>
    <col min="16" max="17" width="14.796875" style="7" customWidth="1"/>
    <col min="18" max="18" width="19.796875" style="7" customWidth="1"/>
    <col min="19" max="19" width="4.5" style="7" customWidth="1"/>
    <col min="20" max="20" width="20.796875" style="7" customWidth="1"/>
    <col min="21" max="21" width="5" style="7" customWidth="1"/>
    <col min="22" max="22" width="5.19921875" style="7" customWidth="1"/>
    <col min="23" max="23" width="22.796875" style="7" customWidth="1"/>
    <col min="24" max="16384" width="10.796875" style="7"/>
  </cols>
  <sheetData>
    <row r="3" spans="5:23">
      <c r="R3" s="48" t="s">
        <v>288</v>
      </c>
      <c r="S3" s="48"/>
      <c r="T3" s="48" t="s">
        <v>288</v>
      </c>
      <c r="U3" s="47"/>
      <c r="W3" s="48" t="s">
        <v>289</v>
      </c>
    </row>
    <row r="5" spans="5:23" ht="18" customHeight="1">
      <c r="P5" s="58" t="s">
        <v>245</v>
      </c>
      <c r="Q5" s="23"/>
      <c r="R5" s="61" t="s">
        <v>293</v>
      </c>
      <c r="T5" s="58" t="s">
        <v>294</v>
      </c>
      <c r="U5" s="58"/>
      <c r="W5" s="58" t="s">
        <v>295</v>
      </c>
    </row>
    <row r="6" spans="5:23" ht="7.95" hidden="1" customHeight="1">
      <c r="P6" s="58"/>
      <c r="Q6" s="23"/>
      <c r="R6" s="61"/>
      <c r="T6" s="58"/>
      <c r="U6" s="58"/>
      <c r="W6" s="58"/>
    </row>
    <row r="7" spans="5:23" ht="25.05" hidden="1" customHeight="1">
      <c r="P7" s="58"/>
      <c r="Q7" s="23"/>
      <c r="R7" s="61"/>
      <c r="T7" s="58"/>
      <c r="U7" s="58"/>
      <c r="W7" s="58"/>
    </row>
    <row r="8" spans="5:23" ht="129" customHeight="1">
      <c r="E8" s="21"/>
      <c r="F8" s="22"/>
      <c r="G8" s="60" t="s">
        <v>243</v>
      </c>
      <c r="H8" s="60"/>
      <c r="I8" s="22"/>
      <c r="J8" s="60" t="s">
        <v>292</v>
      </c>
      <c r="K8" s="60"/>
      <c r="L8" s="22"/>
      <c r="M8" s="60" t="s">
        <v>258</v>
      </c>
      <c r="N8" s="60"/>
      <c r="P8" s="58"/>
      <c r="Q8" s="23"/>
      <c r="R8" s="61"/>
      <c r="T8" s="58"/>
      <c r="U8" s="58"/>
      <c r="W8" s="58"/>
    </row>
    <row r="9" spans="5:23" ht="64.95" customHeight="1">
      <c r="E9" s="9" t="s">
        <v>241</v>
      </c>
      <c r="F9" s="10"/>
      <c r="G9" s="9" t="s">
        <v>242</v>
      </c>
      <c r="H9" s="11" t="s">
        <v>291</v>
      </c>
      <c r="I9" s="9"/>
      <c r="J9" s="9" t="s">
        <v>242</v>
      </c>
      <c r="K9" s="11" t="s">
        <v>257</v>
      </c>
      <c r="L9" s="9"/>
      <c r="M9" s="9" t="s">
        <v>242</v>
      </c>
      <c r="N9" s="11" t="s">
        <v>259</v>
      </c>
      <c r="Q9" s="28"/>
    </row>
    <row r="10" spans="5:23" s="12" customFormat="1" ht="54" customHeight="1">
      <c r="E10" s="13">
        <v>2019</v>
      </c>
      <c r="F10" s="14"/>
      <c r="G10" s="15">
        <v>1500</v>
      </c>
      <c r="H10" s="34">
        <v>7</v>
      </c>
      <c r="I10" s="16"/>
      <c r="J10" s="15">
        <v>100</v>
      </c>
      <c r="K10" s="13">
        <v>7</v>
      </c>
      <c r="L10" s="16"/>
      <c r="M10" s="15">
        <v>2</v>
      </c>
      <c r="N10" s="16">
        <v>2</v>
      </c>
      <c r="P10" s="27">
        <v>2019</v>
      </c>
      <c r="Q10" s="29"/>
      <c r="R10" s="26">
        <f>(G10*H10)+(J10*K10)+(M10*N10)</f>
        <v>11204</v>
      </c>
      <c r="T10" s="26">
        <f>(G10*H10)+(J10*K10)+(M10*N10)</f>
        <v>11204</v>
      </c>
      <c r="W10" s="26">
        <f>1*11204</f>
        <v>11204</v>
      </c>
    </row>
    <row r="11" spans="5:23" s="12" customFormat="1" ht="54" customHeight="1">
      <c r="E11" s="13">
        <v>2020</v>
      </c>
      <c r="F11" s="14"/>
      <c r="G11" s="15">
        <v>1200</v>
      </c>
      <c r="H11" s="34">
        <v>9</v>
      </c>
      <c r="I11" s="16"/>
      <c r="J11" s="15">
        <v>110</v>
      </c>
      <c r="K11" s="13">
        <v>9</v>
      </c>
      <c r="L11" s="16"/>
      <c r="M11" s="15">
        <v>4</v>
      </c>
      <c r="N11" s="16">
        <v>2</v>
      </c>
      <c r="P11" s="27">
        <v>2020</v>
      </c>
      <c r="Q11" s="29"/>
      <c r="R11" s="26">
        <f>(G11*H11)+(J11*K11)+(M11*N11)</f>
        <v>11798</v>
      </c>
      <c r="T11" s="26">
        <f>(G10*H11)+(J10*K11)+(M10*N11)</f>
        <v>14404</v>
      </c>
      <c r="U11" s="24"/>
      <c r="W11" s="26">
        <f>1.011*11204</f>
        <v>11327.243999999999</v>
      </c>
    </row>
    <row r="12" spans="5:23" s="12" customFormat="1" ht="54" customHeight="1" thickBot="1">
      <c r="E12" s="17">
        <v>2021</v>
      </c>
      <c r="F12" s="18"/>
      <c r="G12" s="19">
        <v>1000</v>
      </c>
      <c r="H12" s="35">
        <v>9</v>
      </c>
      <c r="I12" s="20"/>
      <c r="J12" s="19">
        <v>120</v>
      </c>
      <c r="K12" s="17">
        <v>10</v>
      </c>
      <c r="L12" s="20"/>
      <c r="M12" s="19">
        <v>4</v>
      </c>
      <c r="N12" s="20">
        <v>3</v>
      </c>
      <c r="P12" s="27">
        <v>2021</v>
      </c>
      <c r="Q12" s="29"/>
      <c r="R12" s="26">
        <f>(G12*H12)+(J12*K12)+(M12*N12)</f>
        <v>10212</v>
      </c>
      <c r="T12" s="26">
        <f>(G10*H12)+(J10*K12)+(M10*N12)</f>
        <v>14506</v>
      </c>
      <c r="U12" s="24"/>
      <c r="W12" s="26">
        <f>1.3*11.204</f>
        <v>14.565200000000001</v>
      </c>
    </row>
    <row r="13" spans="5:23" ht="54" customHeight="1" thickTop="1"/>
    <row r="14" spans="5:23" ht="25.05" customHeight="1"/>
    <row r="15" spans="5:23" s="46" customFormat="1" ht="42" customHeight="1">
      <c r="E15" s="59" t="s">
        <v>284</v>
      </c>
      <c r="F15" s="59"/>
      <c r="G15" s="59"/>
      <c r="H15" s="59"/>
      <c r="I15" s="59"/>
      <c r="J15" s="59"/>
      <c r="K15" s="59"/>
      <c r="L15" s="59"/>
      <c r="M15" s="59"/>
      <c r="N15" s="59"/>
    </row>
    <row r="16" spans="5:23" s="46" customFormat="1" ht="42" customHeight="1">
      <c r="E16" s="59"/>
      <c r="F16" s="59"/>
      <c r="G16" s="59"/>
      <c r="H16" s="59"/>
      <c r="I16" s="59"/>
      <c r="J16" s="59"/>
      <c r="K16" s="59"/>
      <c r="L16" s="59"/>
      <c r="M16" s="59"/>
      <c r="N16" s="59"/>
    </row>
    <row r="17" spans="5:14" s="46" customFormat="1" ht="42" customHeight="1">
      <c r="E17" s="59"/>
      <c r="F17" s="59"/>
      <c r="G17" s="59"/>
      <c r="H17" s="59"/>
      <c r="I17" s="59"/>
      <c r="J17" s="59"/>
      <c r="K17" s="59"/>
      <c r="L17" s="59"/>
      <c r="M17" s="59"/>
      <c r="N17" s="59"/>
    </row>
    <row r="18" spans="5:14" ht="25.05" customHeight="1"/>
    <row r="19" spans="5:14" ht="37.049999999999997" customHeight="1">
      <c r="E19" s="8" t="s">
        <v>267</v>
      </c>
      <c r="G19" s="12" t="s">
        <v>286</v>
      </c>
    </row>
    <row r="20" spans="5:14" ht="28.05" customHeight="1">
      <c r="G20" s="37"/>
    </row>
    <row r="21" spans="5:14" ht="28.05" customHeight="1">
      <c r="E21" s="8" t="s">
        <v>285</v>
      </c>
      <c r="G21" s="12" t="s">
        <v>287</v>
      </c>
    </row>
  </sheetData>
  <mergeCells count="9">
    <mergeCell ref="W5:W8"/>
    <mergeCell ref="E15:N17"/>
    <mergeCell ref="U5:U8"/>
    <mergeCell ref="P5:P8"/>
    <mergeCell ref="T5:T8"/>
    <mergeCell ref="G8:H8"/>
    <mergeCell ref="J8:K8"/>
    <mergeCell ref="M8:N8"/>
    <mergeCell ref="R5:R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E252"/>
  <sheetViews>
    <sheetView zoomScale="130" zoomScaleNormal="130" workbookViewId="0">
      <selection activeCell="D28" sqref="D28"/>
    </sheetView>
  </sheetViews>
  <sheetFormatPr baseColWidth="10" defaultColWidth="10.796875" defaultRowHeight="15.6"/>
  <cols>
    <col min="1" max="16384" width="10.796875" style="1"/>
  </cols>
  <sheetData>
    <row r="6" spans="1:5">
      <c r="C6" s="1" t="s">
        <v>237</v>
      </c>
    </row>
    <row r="7" spans="1:5">
      <c r="C7" s="1" t="s">
        <v>246</v>
      </c>
    </row>
    <row r="8" spans="1:5">
      <c r="A8" s="1" t="s">
        <v>247</v>
      </c>
      <c r="B8" s="2" t="s">
        <v>236</v>
      </c>
      <c r="C8" s="3" t="s">
        <v>0</v>
      </c>
    </row>
    <row r="9" spans="1:5" ht="46.8">
      <c r="C9" s="4" t="s">
        <v>233</v>
      </c>
      <c r="E9" s="4" t="s">
        <v>234</v>
      </c>
    </row>
    <row r="10" spans="1:5" ht="22.95" customHeight="1">
      <c r="B10" s="3" t="s">
        <v>1</v>
      </c>
      <c r="C10" s="25"/>
      <c r="D10" s="3"/>
      <c r="E10" s="5" t="s">
        <v>235</v>
      </c>
    </row>
    <row r="11" spans="1:5" ht="22.95" customHeight="1">
      <c r="B11" s="3" t="s">
        <v>2</v>
      </c>
      <c r="C11" s="25"/>
      <c r="D11" s="3"/>
      <c r="E11" s="6"/>
    </row>
    <row r="12" spans="1:5" ht="22.95" customHeight="1">
      <c r="B12" s="3" t="s">
        <v>3</v>
      </c>
      <c r="C12" s="25"/>
      <c r="D12" s="3"/>
      <c r="E12" s="6"/>
    </row>
    <row r="13" spans="1:5" ht="22.95" customHeight="1">
      <c r="B13" s="3" t="s">
        <v>4</v>
      </c>
      <c r="C13" s="25"/>
      <c r="D13" s="3"/>
      <c r="E13" s="6"/>
    </row>
    <row r="14" spans="1:5" ht="22.95" customHeight="1">
      <c r="B14" s="3" t="s">
        <v>5</v>
      </c>
      <c r="C14" s="25"/>
      <c r="D14" s="3"/>
      <c r="E14" s="6"/>
    </row>
    <row r="15" spans="1:5" ht="22.95" customHeight="1">
      <c r="B15" s="3" t="s">
        <v>6</v>
      </c>
      <c r="C15" s="25"/>
      <c r="D15" s="3"/>
      <c r="E15" s="6"/>
    </row>
    <row r="16" spans="1:5" ht="22.95" customHeight="1">
      <c r="B16" s="3" t="s">
        <v>7</v>
      </c>
      <c r="C16" s="25"/>
      <c r="D16" s="3"/>
      <c r="E16" s="6"/>
    </row>
    <row r="17" spans="2:5" ht="22.95" customHeight="1">
      <c r="B17" s="3" t="s">
        <v>8</v>
      </c>
      <c r="C17" s="30"/>
      <c r="D17" s="3"/>
      <c r="E17" s="6"/>
    </row>
    <row r="18" spans="2:5" ht="22.95" customHeight="1">
      <c r="B18" s="3" t="s">
        <v>9</v>
      </c>
      <c r="C18" s="30"/>
      <c r="D18" s="3"/>
      <c r="E18" s="6"/>
    </row>
    <row r="19" spans="2:5" ht="22.95" customHeight="1">
      <c r="B19" s="3" t="s">
        <v>10</v>
      </c>
      <c r="C19" s="30"/>
      <c r="D19" s="3"/>
      <c r="E19" s="6"/>
    </row>
    <row r="20" spans="2:5" ht="22.95" customHeight="1">
      <c r="B20" s="3" t="s">
        <v>11</v>
      </c>
      <c r="C20" s="30"/>
      <c r="D20" s="3"/>
      <c r="E20" s="6"/>
    </row>
    <row r="21" spans="2:5" ht="22.95" customHeight="1">
      <c r="B21" s="3" t="s">
        <v>12</v>
      </c>
      <c r="C21" s="30"/>
      <c r="D21" s="3"/>
      <c r="E21" s="6"/>
    </row>
    <row r="22" spans="2:5" ht="22.95" customHeight="1">
      <c r="B22" s="3" t="s">
        <v>13</v>
      </c>
      <c r="C22" s="30"/>
      <c r="D22" s="3"/>
      <c r="E22" s="6"/>
    </row>
    <row r="23" spans="2:5" ht="22.95" customHeight="1">
      <c r="B23" s="3" t="s">
        <v>14</v>
      </c>
      <c r="C23" s="30"/>
      <c r="D23" s="3"/>
      <c r="E23" s="6"/>
    </row>
    <row r="24" spans="2:5" ht="22.95" customHeight="1">
      <c r="B24" s="3" t="s">
        <v>15</v>
      </c>
      <c r="C24" s="30"/>
      <c r="D24" s="3"/>
      <c r="E24" s="6"/>
    </row>
    <row r="25" spans="2:5" ht="22.95" customHeight="1">
      <c r="B25" s="3" t="s">
        <v>16</v>
      </c>
      <c r="C25" s="30"/>
      <c r="D25" s="3"/>
      <c r="E25" s="6"/>
    </row>
    <row r="26" spans="2:5" ht="22.95" customHeight="1">
      <c r="B26" s="3" t="s">
        <v>17</v>
      </c>
      <c r="C26" s="30"/>
      <c r="D26" s="3"/>
      <c r="E26" s="6"/>
    </row>
    <row r="27" spans="2:5" ht="22.95" customHeight="1">
      <c r="B27" s="3" t="s">
        <v>18</v>
      </c>
      <c r="C27" s="30"/>
      <c r="D27" s="3"/>
      <c r="E27" s="6"/>
    </row>
    <row r="28" spans="2:5" ht="22.95" customHeight="1">
      <c r="B28" s="3" t="s">
        <v>19</v>
      </c>
      <c r="C28" s="30"/>
      <c r="D28" s="3"/>
      <c r="E28" s="6"/>
    </row>
    <row r="29" spans="2:5" ht="22.95" customHeight="1">
      <c r="B29" s="3" t="s">
        <v>20</v>
      </c>
      <c r="C29" s="30"/>
      <c r="D29" s="3"/>
      <c r="E29" s="6"/>
    </row>
    <row r="30" spans="2:5" ht="22.95" customHeight="1">
      <c r="B30" s="3" t="s">
        <v>21</v>
      </c>
      <c r="C30" s="30"/>
      <c r="D30" s="3"/>
      <c r="E30" s="6"/>
    </row>
    <row r="31" spans="2:5" ht="22.95" customHeight="1">
      <c r="B31" s="3" t="s">
        <v>22</v>
      </c>
      <c r="C31" s="30"/>
      <c r="D31" s="3"/>
      <c r="E31" s="6"/>
    </row>
    <row r="32" spans="2:5" ht="22.95" customHeight="1">
      <c r="B32" s="3" t="s">
        <v>23</v>
      </c>
      <c r="C32" s="30"/>
      <c r="D32" s="3"/>
      <c r="E32" s="6"/>
    </row>
    <row r="33" spans="2:5" ht="22.95" customHeight="1">
      <c r="B33" s="3" t="s">
        <v>24</v>
      </c>
      <c r="C33" s="30"/>
      <c r="D33" s="3"/>
      <c r="E33" s="6"/>
    </row>
    <row r="34" spans="2:5" ht="22.95" customHeight="1">
      <c r="B34" s="3" t="s">
        <v>25</v>
      </c>
      <c r="C34" s="30"/>
      <c r="D34" s="3"/>
      <c r="E34" s="6"/>
    </row>
    <row r="35" spans="2:5" ht="22.95" customHeight="1">
      <c r="B35" s="3" t="s">
        <v>26</v>
      </c>
      <c r="C35" s="30"/>
      <c r="D35" s="3"/>
      <c r="E35" s="6"/>
    </row>
    <row r="36" spans="2:5" ht="22.95" customHeight="1">
      <c r="B36" s="3" t="s">
        <v>27</v>
      </c>
      <c r="C36" s="30"/>
      <c r="D36" s="3"/>
      <c r="E36" s="6"/>
    </row>
    <row r="37" spans="2:5" ht="22.95" customHeight="1">
      <c r="B37" s="3" t="s">
        <v>28</v>
      </c>
      <c r="C37" s="30"/>
      <c r="D37" s="3"/>
      <c r="E37" s="6"/>
    </row>
    <row r="38" spans="2:5" ht="22.95" customHeight="1">
      <c r="B38" s="3" t="s">
        <v>29</v>
      </c>
      <c r="C38" s="30"/>
      <c r="D38" s="3"/>
      <c r="E38" s="6"/>
    </row>
    <row r="39" spans="2:5" ht="22.95" customHeight="1">
      <c r="B39" s="3" t="s">
        <v>30</v>
      </c>
      <c r="C39" s="30"/>
      <c r="D39" s="3"/>
      <c r="E39" s="6"/>
    </row>
    <row r="40" spans="2:5" ht="22.95" customHeight="1">
      <c r="B40" s="3" t="s">
        <v>31</v>
      </c>
      <c r="C40" s="30"/>
      <c r="D40" s="3"/>
      <c r="E40" s="6"/>
    </row>
    <row r="41" spans="2:5" ht="22.95" customHeight="1">
      <c r="B41" s="3" t="s">
        <v>32</v>
      </c>
      <c r="C41" s="30"/>
      <c r="D41" s="3"/>
      <c r="E41" s="6"/>
    </row>
    <row r="42" spans="2:5" ht="22.95" customHeight="1">
      <c r="B42" s="3" t="s">
        <v>33</v>
      </c>
      <c r="C42" s="30"/>
      <c r="D42" s="3"/>
      <c r="E42" s="6"/>
    </row>
    <row r="43" spans="2:5" ht="22.95" customHeight="1">
      <c r="B43" s="3" t="s">
        <v>34</v>
      </c>
      <c r="C43" s="30"/>
      <c r="D43" s="3"/>
      <c r="E43" s="6"/>
    </row>
    <row r="44" spans="2:5" ht="22.95" customHeight="1">
      <c r="B44" s="3" t="s">
        <v>35</v>
      </c>
      <c r="C44" s="30"/>
      <c r="D44" s="3"/>
      <c r="E44" s="6"/>
    </row>
    <row r="45" spans="2:5" ht="22.95" customHeight="1">
      <c r="B45" s="3" t="s">
        <v>36</v>
      </c>
      <c r="C45" s="30"/>
      <c r="D45" s="3"/>
      <c r="E45" s="6"/>
    </row>
    <row r="46" spans="2:5" ht="22.95" customHeight="1">
      <c r="B46" s="3" t="s">
        <v>37</v>
      </c>
      <c r="C46" s="30"/>
      <c r="D46" s="3"/>
      <c r="E46" s="6"/>
    </row>
    <row r="47" spans="2:5" ht="22.95" customHeight="1">
      <c r="B47" s="3" t="s">
        <v>38</v>
      </c>
      <c r="C47" s="30"/>
      <c r="D47" s="3"/>
      <c r="E47" s="6"/>
    </row>
    <row r="48" spans="2:5" ht="22.95" customHeight="1">
      <c r="B48" s="3" t="s">
        <v>39</v>
      </c>
      <c r="C48" s="30"/>
      <c r="D48" s="3"/>
      <c r="E48" s="6"/>
    </row>
    <row r="49" spans="2:5" ht="22.95" customHeight="1">
      <c r="B49" s="3" t="s">
        <v>40</v>
      </c>
      <c r="C49" s="30"/>
      <c r="D49" s="3"/>
      <c r="E49" s="6"/>
    </row>
    <row r="50" spans="2:5" ht="22.95" customHeight="1">
      <c r="B50" s="3" t="s">
        <v>41</v>
      </c>
      <c r="C50" s="30"/>
      <c r="D50" s="3"/>
      <c r="E50" s="6"/>
    </row>
    <row r="51" spans="2:5" ht="22.95" customHeight="1">
      <c r="B51" s="3" t="s">
        <v>42</v>
      </c>
      <c r="C51" s="30"/>
      <c r="D51" s="3"/>
      <c r="E51" s="6"/>
    </row>
    <row r="52" spans="2:5" ht="22.95" customHeight="1">
      <c r="B52" s="3" t="s">
        <v>43</v>
      </c>
      <c r="C52" s="30"/>
      <c r="D52" s="3"/>
      <c r="E52" s="6"/>
    </row>
    <row r="53" spans="2:5" ht="22.95" customHeight="1">
      <c r="B53" s="3" t="s">
        <v>44</v>
      </c>
      <c r="C53" s="30"/>
      <c r="D53" s="3"/>
      <c r="E53" s="6"/>
    </row>
    <row r="54" spans="2:5" ht="22.95" customHeight="1">
      <c r="B54" s="3" t="s">
        <v>45</v>
      </c>
      <c r="C54" s="30"/>
      <c r="D54" s="3"/>
      <c r="E54" s="6"/>
    </row>
    <row r="55" spans="2:5" ht="22.95" customHeight="1">
      <c r="B55" s="3" t="s">
        <v>46</v>
      </c>
      <c r="C55" s="30"/>
      <c r="D55" s="3"/>
      <c r="E55" s="6"/>
    </row>
    <row r="56" spans="2:5" ht="22.95" customHeight="1">
      <c r="B56" s="3" t="s">
        <v>47</v>
      </c>
      <c r="C56" s="30"/>
      <c r="D56" s="3"/>
      <c r="E56" s="6"/>
    </row>
    <row r="57" spans="2:5" ht="22.95" customHeight="1">
      <c r="B57" s="3" t="s">
        <v>48</v>
      </c>
      <c r="C57" s="30"/>
      <c r="D57" s="3"/>
      <c r="E57" s="6"/>
    </row>
    <row r="58" spans="2:5" ht="22.95" customHeight="1">
      <c r="B58" s="3" t="s">
        <v>49</v>
      </c>
      <c r="C58" s="30"/>
      <c r="D58" s="3"/>
      <c r="E58" s="6"/>
    </row>
    <row r="59" spans="2:5" ht="22.95" customHeight="1">
      <c r="B59" s="3" t="s">
        <v>50</v>
      </c>
      <c r="C59" s="30"/>
      <c r="D59" s="3"/>
      <c r="E59" s="6"/>
    </row>
    <row r="60" spans="2:5" ht="22.95" customHeight="1">
      <c r="B60" s="3" t="s">
        <v>51</v>
      </c>
      <c r="C60" s="30"/>
      <c r="D60" s="3"/>
      <c r="E60" s="6"/>
    </row>
    <row r="61" spans="2:5" ht="22.95" customHeight="1">
      <c r="B61" s="3" t="s">
        <v>52</v>
      </c>
      <c r="C61" s="30"/>
      <c r="D61" s="3"/>
      <c r="E61" s="6"/>
    </row>
    <row r="62" spans="2:5" ht="22.95" customHeight="1">
      <c r="B62" s="3" t="s">
        <v>53</v>
      </c>
      <c r="C62" s="30"/>
      <c r="D62" s="3"/>
      <c r="E62" s="6"/>
    </row>
    <row r="63" spans="2:5" ht="22.95" customHeight="1">
      <c r="B63" s="3" t="s">
        <v>54</v>
      </c>
      <c r="C63" s="30"/>
      <c r="D63" s="3"/>
      <c r="E63" s="6"/>
    </row>
    <row r="64" spans="2:5" ht="22.95" customHeight="1">
      <c r="B64" s="3" t="s">
        <v>55</v>
      </c>
      <c r="C64" s="30"/>
      <c r="D64" s="3"/>
      <c r="E64" s="6"/>
    </row>
    <row r="65" spans="2:5" ht="22.95" customHeight="1">
      <c r="B65" s="3" t="s">
        <v>56</v>
      </c>
      <c r="C65" s="30"/>
      <c r="D65" s="3"/>
      <c r="E65" s="6"/>
    </row>
    <row r="66" spans="2:5" ht="22.95" customHeight="1">
      <c r="B66" s="3" t="s">
        <v>57</v>
      </c>
      <c r="C66" s="30"/>
      <c r="D66" s="3"/>
      <c r="E66" s="6"/>
    </row>
    <row r="67" spans="2:5" ht="22.95" customHeight="1">
      <c r="B67" s="3" t="s">
        <v>58</v>
      </c>
      <c r="C67" s="30"/>
      <c r="D67" s="3"/>
      <c r="E67" s="6"/>
    </row>
    <row r="68" spans="2:5" ht="22.95" customHeight="1">
      <c r="B68" s="3" t="s">
        <v>59</v>
      </c>
      <c r="C68" s="30"/>
      <c r="D68" s="3"/>
      <c r="E68" s="6"/>
    </row>
    <row r="69" spans="2:5" ht="22.95" customHeight="1">
      <c r="B69" s="3" t="s">
        <v>60</v>
      </c>
      <c r="C69" s="30"/>
      <c r="D69" s="3"/>
      <c r="E69" s="6"/>
    </row>
    <row r="70" spans="2:5" ht="22.95" customHeight="1">
      <c r="B70" s="3" t="s">
        <v>61</v>
      </c>
      <c r="C70" s="30"/>
      <c r="D70" s="3"/>
      <c r="E70" s="6"/>
    </row>
    <row r="71" spans="2:5" ht="22.95" customHeight="1">
      <c r="B71" s="3" t="s">
        <v>62</v>
      </c>
      <c r="C71" s="30"/>
      <c r="D71" s="3"/>
      <c r="E71" s="6"/>
    </row>
    <row r="72" spans="2:5" ht="22.95" customHeight="1">
      <c r="B72" s="3" t="s">
        <v>63</v>
      </c>
      <c r="C72" s="30"/>
      <c r="D72" s="3"/>
      <c r="E72" s="6"/>
    </row>
    <row r="73" spans="2:5" ht="22.95" customHeight="1">
      <c r="B73" s="3" t="s">
        <v>64</v>
      </c>
      <c r="C73" s="30"/>
      <c r="D73" s="3"/>
      <c r="E73" s="6"/>
    </row>
    <row r="74" spans="2:5" ht="22.95" customHeight="1">
      <c r="B74" s="3" t="s">
        <v>65</v>
      </c>
      <c r="C74" s="30"/>
      <c r="D74" s="3"/>
      <c r="E74" s="6"/>
    </row>
    <row r="75" spans="2:5" ht="22.95" customHeight="1">
      <c r="B75" s="3" t="s">
        <v>66</v>
      </c>
      <c r="C75" s="30"/>
      <c r="D75" s="3"/>
      <c r="E75" s="6"/>
    </row>
    <row r="76" spans="2:5" ht="22.95" customHeight="1">
      <c r="B76" s="3" t="s">
        <v>67</v>
      </c>
      <c r="C76" s="30"/>
      <c r="D76" s="3"/>
      <c r="E76" s="6"/>
    </row>
    <row r="77" spans="2:5" ht="22.95" customHeight="1">
      <c r="B77" s="3" t="s">
        <v>68</v>
      </c>
      <c r="C77" s="30"/>
      <c r="D77" s="3"/>
      <c r="E77" s="6"/>
    </row>
    <row r="78" spans="2:5" ht="22.95" customHeight="1">
      <c r="B78" s="3" t="s">
        <v>69</v>
      </c>
      <c r="C78" s="30"/>
      <c r="D78" s="3"/>
      <c r="E78" s="6"/>
    </row>
    <row r="79" spans="2:5" ht="22.95" customHeight="1">
      <c r="B79" s="3" t="s">
        <v>70</v>
      </c>
      <c r="C79" s="30"/>
      <c r="D79" s="3"/>
      <c r="E79" s="6"/>
    </row>
    <row r="80" spans="2:5" ht="22.95" customHeight="1">
      <c r="B80" s="3" t="s">
        <v>71</v>
      </c>
      <c r="C80" s="30"/>
      <c r="D80" s="3"/>
      <c r="E80" s="6"/>
    </row>
    <row r="81" spans="2:5" ht="22.95" customHeight="1">
      <c r="B81" s="3" t="s">
        <v>72</v>
      </c>
      <c r="C81" s="30"/>
      <c r="D81" s="3"/>
      <c r="E81" s="6"/>
    </row>
    <row r="82" spans="2:5" ht="22.95" customHeight="1">
      <c r="B82" s="3" t="s">
        <v>73</v>
      </c>
      <c r="C82" s="30"/>
      <c r="D82" s="3"/>
      <c r="E82" s="6"/>
    </row>
    <row r="83" spans="2:5" ht="22.95" customHeight="1">
      <c r="B83" s="3" t="s">
        <v>74</v>
      </c>
      <c r="C83" s="30"/>
      <c r="D83" s="3"/>
      <c r="E83" s="6"/>
    </row>
    <row r="84" spans="2:5" ht="22.95" customHeight="1">
      <c r="B84" s="3" t="s">
        <v>75</v>
      </c>
      <c r="C84" s="30"/>
      <c r="D84" s="3"/>
      <c r="E84" s="6"/>
    </row>
    <row r="85" spans="2:5" ht="22.95" customHeight="1">
      <c r="B85" s="3" t="s">
        <v>76</v>
      </c>
      <c r="C85" s="30"/>
      <c r="D85" s="3"/>
      <c r="E85" s="6"/>
    </row>
    <row r="86" spans="2:5" ht="22.95" customHeight="1">
      <c r="B86" s="3" t="s">
        <v>77</v>
      </c>
      <c r="C86" s="30"/>
      <c r="D86" s="3"/>
      <c r="E86" s="6"/>
    </row>
    <row r="87" spans="2:5" ht="22.95" customHeight="1">
      <c r="B87" s="3" t="s">
        <v>78</v>
      </c>
      <c r="C87" s="30"/>
      <c r="D87" s="3"/>
      <c r="E87" s="6"/>
    </row>
    <row r="88" spans="2:5" ht="22.95" customHeight="1">
      <c r="B88" s="3" t="s">
        <v>79</v>
      </c>
      <c r="C88" s="30"/>
      <c r="D88" s="3"/>
      <c r="E88" s="6"/>
    </row>
    <row r="89" spans="2:5" ht="22.95" customHeight="1">
      <c r="B89" s="3" t="s">
        <v>80</v>
      </c>
      <c r="C89" s="30"/>
      <c r="D89" s="3"/>
      <c r="E89" s="6"/>
    </row>
    <row r="90" spans="2:5" ht="22.95" customHeight="1">
      <c r="B90" s="3" t="s">
        <v>81</v>
      </c>
      <c r="C90" s="30"/>
      <c r="D90" s="3"/>
      <c r="E90" s="6"/>
    </row>
    <row r="91" spans="2:5" ht="22.95" customHeight="1">
      <c r="B91" s="3" t="s">
        <v>82</v>
      </c>
      <c r="C91" s="30"/>
      <c r="D91" s="3"/>
      <c r="E91" s="6"/>
    </row>
    <row r="92" spans="2:5" ht="22.95" customHeight="1">
      <c r="B92" s="3" t="s">
        <v>83</v>
      </c>
      <c r="C92" s="30"/>
      <c r="D92" s="3"/>
      <c r="E92" s="6"/>
    </row>
    <row r="93" spans="2:5" ht="22.95" customHeight="1">
      <c r="B93" s="3" t="s">
        <v>84</v>
      </c>
      <c r="C93" s="30"/>
      <c r="D93" s="3"/>
      <c r="E93" s="6"/>
    </row>
    <row r="94" spans="2:5" ht="22.95" customHeight="1">
      <c r="B94" s="3" t="s">
        <v>85</v>
      </c>
      <c r="C94" s="30"/>
      <c r="D94" s="3"/>
      <c r="E94" s="6"/>
    </row>
    <row r="95" spans="2:5" ht="22.95" customHeight="1">
      <c r="B95" s="3" t="s">
        <v>86</v>
      </c>
      <c r="C95" s="30"/>
      <c r="D95" s="3"/>
      <c r="E95" s="6"/>
    </row>
    <row r="96" spans="2:5" ht="22.95" customHeight="1">
      <c r="B96" s="3" t="s">
        <v>87</v>
      </c>
      <c r="C96" s="30"/>
      <c r="D96" s="3"/>
      <c r="E96" s="6"/>
    </row>
    <row r="97" spans="2:5" ht="22.95" customHeight="1">
      <c r="B97" s="3" t="s">
        <v>88</v>
      </c>
      <c r="C97" s="30"/>
      <c r="D97" s="3"/>
      <c r="E97" s="6"/>
    </row>
    <row r="98" spans="2:5" ht="22.95" customHeight="1">
      <c r="B98" s="3" t="s">
        <v>89</v>
      </c>
      <c r="C98" s="30"/>
      <c r="D98" s="3"/>
      <c r="E98" s="6"/>
    </row>
    <row r="99" spans="2:5" ht="22.95" customHeight="1">
      <c r="B99" s="3" t="s">
        <v>90</v>
      </c>
      <c r="C99" s="30"/>
      <c r="D99" s="3"/>
      <c r="E99" s="6"/>
    </row>
    <row r="100" spans="2:5" ht="22.95" customHeight="1">
      <c r="B100" s="3" t="s">
        <v>91</v>
      </c>
      <c r="C100" s="30"/>
      <c r="D100" s="3"/>
      <c r="E100" s="6"/>
    </row>
    <row r="101" spans="2:5" ht="22.95" customHeight="1">
      <c r="B101" s="3" t="s">
        <v>92</v>
      </c>
      <c r="C101" s="30"/>
      <c r="D101" s="3"/>
      <c r="E101" s="6"/>
    </row>
    <row r="102" spans="2:5" ht="22.95" customHeight="1">
      <c r="B102" s="3" t="s">
        <v>93</v>
      </c>
      <c r="C102" s="30"/>
      <c r="D102" s="3"/>
      <c r="E102" s="6"/>
    </row>
    <row r="103" spans="2:5" ht="22.95" customHeight="1">
      <c r="B103" s="3" t="s">
        <v>94</v>
      </c>
      <c r="C103" s="30"/>
      <c r="D103" s="3"/>
      <c r="E103" s="6"/>
    </row>
    <row r="104" spans="2:5" ht="22.95" customHeight="1">
      <c r="B104" s="3" t="s">
        <v>95</v>
      </c>
      <c r="C104" s="30"/>
      <c r="D104" s="3"/>
      <c r="E104" s="6"/>
    </row>
    <row r="105" spans="2:5" ht="22.95" customHeight="1">
      <c r="B105" s="3" t="s">
        <v>96</v>
      </c>
      <c r="C105" s="30"/>
      <c r="D105" s="3"/>
      <c r="E105" s="6"/>
    </row>
    <row r="106" spans="2:5" ht="22.95" customHeight="1">
      <c r="B106" s="3" t="s">
        <v>97</v>
      </c>
      <c r="C106" s="30"/>
      <c r="D106" s="3"/>
      <c r="E106" s="6"/>
    </row>
    <row r="107" spans="2:5" ht="22.95" customHeight="1">
      <c r="B107" s="3" t="s">
        <v>98</v>
      </c>
      <c r="C107" s="30"/>
      <c r="D107" s="3"/>
      <c r="E107" s="6"/>
    </row>
    <row r="108" spans="2:5" ht="22.95" customHeight="1">
      <c r="B108" s="3" t="s">
        <v>99</v>
      </c>
      <c r="C108" s="30"/>
      <c r="D108" s="3"/>
      <c r="E108" s="6"/>
    </row>
    <row r="109" spans="2:5" ht="22.95" customHeight="1">
      <c r="B109" s="3" t="s">
        <v>100</v>
      </c>
      <c r="C109" s="30"/>
      <c r="D109" s="3"/>
      <c r="E109" s="6"/>
    </row>
    <row r="110" spans="2:5" ht="22.95" customHeight="1">
      <c r="B110" s="3" t="s">
        <v>101</v>
      </c>
      <c r="C110" s="30"/>
      <c r="D110" s="3"/>
      <c r="E110" s="6"/>
    </row>
    <row r="111" spans="2:5" ht="22.95" customHeight="1">
      <c r="B111" s="3" t="s">
        <v>102</v>
      </c>
      <c r="C111" s="30"/>
      <c r="D111" s="3"/>
      <c r="E111" s="6"/>
    </row>
    <row r="112" spans="2:5" ht="22.95" customHeight="1">
      <c r="B112" s="3" t="s">
        <v>103</v>
      </c>
      <c r="C112" s="30"/>
      <c r="D112" s="3"/>
      <c r="E112" s="6"/>
    </row>
    <row r="113" spans="2:5" ht="22.95" customHeight="1">
      <c r="B113" s="3" t="s">
        <v>104</v>
      </c>
      <c r="C113" s="30"/>
      <c r="D113" s="3"/>
      <c r="E113" s="6"/>
    </row>
    <row r="114" spans="2:5" ht="22.95" customHeight="1">
      <c r="B114" s="3" t="s">
        <v>105</v>
      </c>
      <c r="C114" s="30"/>
      <c r="D114" s="3"/>
      <c r="E114" s="6"/>
    </row>
    <row r="115" spans="2:5" ht="22.95" customHeight="1">
      <c r="B115" s="3" t="s">
        <v>106</v>
      </c>
      <c r="C115" s="30"/>
      <c r="D115" s="3"/>
      <c r="E115" s="6"/>
    </row>
    <row r="116" spans="2:5" ht="22.95" customHeight="1">
      <c r="B116" s="3" t="s">
        <v>107</v>
      </c>
      <c r="C116" s="30"/>
      <c r="D116" s="3"/>
      <c r="E116" s="6"/>
    </row>
    <row r="117" spans="2:5" ht="22.95" customHeight="1">
      <c r="B117" s="3" t="s">
        <v>108</v>
      </c>
      <c r="C117" s="30"/>
      <c r="D117" s="3"/>
      <c r="E117" s="6"/>
    </row>
    <row r="118" spans="2:5" ht="22.95" customHeight="1">
      <c r="B118" s="3" t="s">
        <v>109</v>
      </c>
      <c r="C118" s="30"/>
      <c r="D118" s="3"/>
      <c r="E118" s="6"/>
    </row>
    <row r="119" spans="2:5" ht="22.95" customHeight="1">
      <c r="B119" s="3" t="s">
        <v>110</v>
      </c>
      <c r="C119" s="30"/>
      <c r="D119" s="3"/>
      <c r="E119" s="6"/>
    </row>
    <row r="120" spans="2:5" ht="22.95" customHeight="1">
      <c r="B120" s="3" t="s">
        <v>111</v>
      </c>
      <c r="C120" s="30"/>
      <c r="D120" s="3"/>
      <c r="E120" s="6"/>
    </row>
    <row r="121" spans="2:5" ht="22.95" customHeight="1">
      <c r="B121" s="3" t="s">
        <v>112</v>
      </c>
      <c r="C121" s="30"/>
      <c r="D121" s="3"/>
      <c r="E121" s="6"/>
    </row>
    <row r="122" spans="2:5" ht="22.95" customHeight="1">
      <c r="B122" s="3" t="s">
        <v>113</v>
      </c>
      <c r="C122" s="30"/>
      <c r="D122" s="3"/>
      <c r="E122" s="6"/>
    </row>
    <row r="123" spans="2:5" ht="22.95" customHeight="1">
      <c r="B123" s="3" t="s">
        <v>114</v>
      </c>
      <c r="C123" s="30"/>
      <c r="D123" s="3"/>
      <c r="E123" s="6"/>
    </row>
    <row r="124" spans="2:5" ht="22.95" customHeight="1">
      <c r="B124" s="3" t="s">
        <v>115</v>
      </c>
      <c r="C124" s="30"/>
      <c r="D124" s="3"/>
      <c r="E124" s="6"/>
    </row>
    <row r="125" spans="2:5" ht="22.95" customHeight="1">
      <c r="B125" s="3" t="s">
        <v>116</v>
      </c>
      <c r="C125" s="30"/>
      <c r="D125" s="3"/>
      <c r="E125" s="6"/>
    </row>
    <row r="126" spans="2:5" ht="22.95" customHeight="1">
      <c r="B126" s="3" t="s">
        <v>117</v>
      </c>
      <c r="C126" s="30"/>
      <c r="D126" s="3"/>
      <c r="E126" s="6"/>
    </row>
    <row r="127" spans="2:5" ht="22.95" customHeight="1">
      <c r="B127" s="3" t="s">
        <v>118</v>
      </c>
      <c r="C127" s="30"/>
      <c r="D127" s="3"/>
      <c r="E127" s="6"/>
    </row>
    <row r="128" spans="2:5" ht="22.95" customHeight="1">
      <c r="B128" s="3" t="s">
        <v>119</v>
      </c>
      <c r="C128" s="30"/>
      <c r="D128" s="3"/>
      <c r="E128" s="6"/>
    </row>
    <row r="129" spans="2:5" ht="22.95" customHeight="1">
      <c r="B129" s="3" t="s">
        <v>120</v>
      </c>
      <c r="C129" s="30"/>
      <c r="D129" s="3"/>
      <c r="E129" s="6"/>
    </row>
    <row r="130" spans="2:5" ht="22.95" customHeight="1">
      <c r="B130" s="3" t="s">
        <v>121</v>
      </c>
      <c r="C130" s="30"/>
      <c r="D130" s="3"/>
      <c r="E130" s="6"/>
    </row>
    <row r="131" spans="2:5" ht="22.95" customHeight="1">
      <c r="B131" s="3" t="s">
        <v>122</v>
      </c>
      <c r="C131" s="30"/>
      <c r="D131" s="3"/>
      <c r="E131" s="6"/>
    </row>
    <row r="132" spans="2:5" ht="22.95" customHeight="1">
      <c r="B132" s="3" t="s">
        <v>123</v>
      </c>
      <c r="C132" s="30"/>
      <c r="D132" s="3"/>
      <c r="E132" s="6"/>
    </row>
    <row r="133" spans="2:5" ht="22.95" customHeight="1">
      <c r="B133" s="3" t="s">
        <v>124</v>
      </c>
      <c r="C133" s="30"/>
      <c r="D133" s="3"/>
      <c r="E133" s="6"/>
    </row>
    <row r="134" spans="2:5" ht="22.95" customHeight="1">
      <c r="B134" s="3" t="s">
        <v>125</v>
      </c>
      <c r="C134" s="30"/>
      <c r="D134" s="3"/>
      <c r="E134" s="6"/>
    </row>
    <row r="135" spans="2:5" ht="22.95" customHeight="1">
      <c r="B135" s="3" t="s">
        <v>126</v>
      </c>
      <c r="C135" s="30"/>
      <c r="D135" s="3"/>
      <c r="E135" s="6"/>
    </row>
    <row r="136" spans="2:5" ht="22.95" customHeight="1">
      <c r="B136" s="3" t="s">
        <v>127</v>
      </c>
      <c r="C136" s="30"/>
      <c r="D136" s="3"/>
      <c r="E136" s="6"/>
    </row>
    <row r="137" spans="2:5" ht="22.95" customHeight="1">
      <c r="B137" s="3" t="s">
        <v>128</v>
      </c>
      <c r="C137" s="30"/>
      <c r="D137" s="3"/>
      <c r="E137" s="6"/>
    </row>
    <row r="138" spans="2:5" ht="22.95" customHeight="1">
      <c r="B138" s="3" t="s">
        <v>129</v>
      </c>
      <c r="C138" s="30"/>
      <c r="D138" s="3"/>
      <c r="E138" s="6"/>
    </row>
    <row r="139" spans="2:5" ht="22.95" customHeight="1">
      <c r="B139" s="3" t="s">
        <v>130</v>
      </c>
      <c r="C139" s="30"/>
      <c r="D139" s="3"/>
      <c r="E139" s="6"/>
    </row>
    <row r="140" spans="2:5" ht="22.95" customHeight="1">
      <c r="B140" s="3" t="s">
        <v>131</v>
      </c>
      <c r="C140" s="30"/>
      <c r="D140" s="3"/>
      <c r="E140" s="6"/>
    </row>
    <row r="141" spans="2:5" ht="22.95" customHeight="1">
      <c r="B141" s="3" t="s">
        <v>132</v>
      </c>
      <c r="C141" s="30"/>
      <c r="D141" s="3"/>
      <c r="E141" s="6"/>
    </row>
    <row r="142" spans="2:5" ht="22.95" customHeight="1">
      <c r="B142" s="3" t="s">
        <v>133</v>
      </c>
      <c r="C142" s="30"/>
      <c r="D142" s="3"/>
      <c r="E142" s="6"/>
    </row>
    <row r="143" spans="2:5" ht="22.95" customHeight="1">
      <c r="B143" s="3" t="s">
        <v>134</v>
      </c>
      <c r="C143" s="30"/>
      <c r="D143" s="3"/>
      <c r="E143" s="6"/>
    </row>
    <row r="144" spans="2:5" ht="22.95" customHeight="1">
      <c r="B144" s="3" t="s">
        <v>135</v>
      </c>
      <c r="C144" s="30"/>
      <c r="D144" s="3"/>
      <c r="E144" s="6"/>
    </row>
    <row r="145" spans="2:5" ht="22.95" customHeight="1">
      <c r="B145" s="3" t="s">
        <v>136</v>
      </c>
      <c r="C145" s="30"/>
      <c r="D145" s="3"/>
      <c r="E145" s="6"/>
    </row>
    <row r="146" spans="2:5" ht="22.95" customHeight="1">
      <c r="B146" s="3" t="s">
        <v>137</v>
      </c>
      <c r="C146" s="30"/>
      <c r="D146" s="3"/>
      <c r="E146" s="6"/>
    </row>
    <row r="147" spans="2:5" ht="22.95" customHeight="1">
      <c r="B147" s="3" t="s">
        <v>138</v>
      </c>
      <c r="C147" s="30"/>
      <c r="D147" s="3"/>
      <c r="E147" s="6"/>
    </row>
    <row r="148" spans="2:5" ht="22.95" customHeight="1">
      <c r="B148" s="3" t="s">
        <v>139</v>
      </c>
      <c r="C148" s="30"/>
      <c r="D148" s="3"/>
      <c r="E148" s="6"/>
    </row>
    <row r="149" spans="2:5" ht="22.95" customHeight="1">
      <c r="B149" s="3" t="s">
        <v>140</v>
      </c>
      <c r="C149" s="30"/>
      <c r="D149" s="3"/>
      <c r="E149" s="6"/>
    </row>
    <row r="150" spans="2:5" ht="22.95" customHeight="1">
      <c r="B150" s="3" t="s">
        <v>141</v>
      </c>
      <c r="C150" s="30"/>
      <c r="D150" s="3"/>
      <c r="E150" s="6"/>
    </row>
    <row r="151" spans="2:5" ht="22.95" customHeight="1">
      <c r="B151" s="3" t="s">
        <v>142</v>
      </c>
      <c r="C151" s="30"/>
      <c r="D151" s="3"/>
      <c r="E151" s="6"/>
    </row>
    <row r="152" spans="2:5" ht="22.95" customHeight="1">
      <c r="B152" s="3" t="s">
        <v>143</v>
      </c>
      <c r="C152" s="30"/>
      <c r="D152" s="3"/>
      <c r="E152" s="6"/>
    </row>
    <row r="153" spans="2:5" ht="22.95" customHeight="1">
      <c r="B153" s="3" t="s">
        <v>144</v>
      </c>
      <c r="C153" s="30"/>
      <c r="D153" s="3"/>
      <c r="E153" s="6"/>
    </row>
    <row r="154" spans="2:5" ht="22.95" customHeight="1">
      <c r="B154" s="3" t="s">
        <v>145</v>
      </c>
      <c r="C154" s="30"/>
      <c r="D154" s="3"/>
      <c r="E154" s="6"/>
    </row>
    <row r="155" spans="2:5" ht="22.95" customHeight="1">
      <c r="B155" s="3" t="s">
        <v>146</v>
      </c>
      <c r="C155" s="30"/>
      <c r="D155" s="3"/>
      <c r="E155" s="6"/>
    </row>
    <row r="156" spans="2:5" ht="22.95" customHeight="1">
      <c r="B156" s="3" t="s">
        <v>147</v>
      </c>
      <c r="C156" s="30"/>
      <c r="D156" s="3"/>
      <c r="E156" s="6"/>
    </row>
    <row r="157" spans="2:5" ht="22.95" customHeight="1">
      <c r="B157" s="3" t="s">
        <v>148</v>
      </c>
      <c r="C157" s="30"/>
      <c r="D157" s="3"/>
      <c r="E157" s="6"/>
    </row>
    <row r="158" spans="2:5" ht="22.95" customHeight="1">
      <c r="B158" s="3" t="s">
        <v>149</v>
      </c>
      <c r="C158" s="30"/>
      <c r="D158" s="3"/>
      <c r="E158" s="6"/>
    </row>
    <row r="159" spans="2:5" ht="22.95" customHeight="1">
      <c r="B159" s="3" t="s">
        <v>150</v>
      </c>
      <c r="C159" s="30"/>
      <c r="D159" s="3"/>
      <c r="E159" s="6"/>
    </row>
    <row r="160" spans="2:5" ht="22.95" customHeight="1">
      <c r="B160" s="3" t="s">
        <v>151</v>
      </c>
      <c r="C160" s="30"/>
      <c r="D160" s="3"/>
      <c r="E160" s="6"/>
    </row>
    <row r="161" spans="2:5" ht="22.95" customHeight="1">
      <c r="B161" s="3" t="s">
        <v>152</v>
      </c>
      <c r="C161" s="30"/>
      <c r="D161" s="3"/>
      <c r="E161" s="6"/>
    </row>
    <row r="162" spans="2:5" ht="22.95" customHeight="1">
      <c r="B162" s="3" t="s">
        <v>153</v>
      </c>
      <c r="C162" s="30"/>
      <c r="D162" s="3"/>
      <c r="E162" s="6"/>
    </row>
    <row r="163" spans="2:5" ht="22.95" customHeight="1">
      <c r="B163" s="3" t="s">
        <v>154</v>
      </c>
      <c r="C163" s="30"/>
      <c r="D163" s="3"/>
      <c r="E163" s="6"/>
    </row>
    <row r="164" spans="2:5" ht="22.95" customHeight="1">
      <c r="B164" s="3" t="s">
        <v>155</v>
      </c>
      <c r="C164" s="30"/>
      <c r="D164" s="3"/>
      <c r="E164" s="6"/>
    </row>
    <row r="165" spans="2:5" ht="22.95" customHeight="1">
      <c r="B165" s="3" t="s">
        <v>156</v>
      </c>
      <c r="C165" s="30"/>
      <c r="D165" s="3"/>
      <c r="E165" s="6"/>
    </row>
    <row r="166" spans="2:5" ht="22.95" customHeight="1">
      <c r="B166" s="3" t="s">
        <v>157</v>
      </c>
      <c r="C166" s="30"/>
      <c r="D166" s="3"/>
      <c r="E166" s="6"/>
    </row>
    <row r="167" spans="2:5" ht="22.95" customHeight="1">
      <c r="B167" s="3" t="s">
        <v>158</v>
      </c>
      <c r="C167" s="30"/>
      <c r="D167" s="3"/>
      <c r="E167" s="6"/>
    </row>
    <row r="168" spans="2:5" ht="22.95" customHeight="1">
      <c r="B168" s="3" t="s">
        <v>159</v>
      </c>
      <c r="C168" s="30"/>
      <c r="D168" s="3"/>
      <c r="E168" s="6"/>
    </row>
    <row r="169" spans="2:5" ht="22.95" customHeight="1">
      <c r="B169" s="3" t="s">
        <v>160</v>
      </c>
      <c r="C169" s="30"/>
      <c r="D169" s="3"/>
      <c r="E169" s="6"/>
    </row>
    <row r="170" spans="2:5" ht="22.95" customHeight="1">
      <c r="B170" s="3" t="s">
        <v>161</v>
      </c>
      <c r="C170" s="30"/>
      <c r="D170" s="3"/>
      <c r="E170" s="6"/>
    </row>
    <row r="171" spans="2:5" ht="22.95" customHeight="1">
      <c r="B171" s="3" t="s">
        <v>162</v>
      </c>
      <c r="C171" s="30"/>
      <c r="D171" s="3"/>
      <c r="E171" s="6"/>
    </row>
    <row r="172" spans="2:5" ht="22.95" customHeight="1">
      <c r="B172" s="3" t="s">
        <v>163</v>
      </c>
      <c r="C172" s="30"/>
      <c r="D172" s="3"/>
      <c r="E172" s="6"/>
    </row>
    <row r="173" spans="2:5" ht="22.95" customHeight="1">
      <c r="B173" s="3" t="s">
        <v>164</v>
      </c>
      <c r="C173" s="30"/>
      <c r="D173" s="3"/>
      <c r="E173" s="6"/>
    </row>
    <row r="174" spans="2:5" ht="22.95" customHeight="1">
      <c r="B174" s="3" t="s">
        <v>165</v>
      </c>
      <c r="C174" s="30"/>
      <c r="D174" s="3"/>
      <c r="E174" s="6"/>
    </row>
    <row r="175" spans="2:5" ht="22.95" customHeight="1">
      <c r="B175" s="3" t="s">
        <v>166</v>
      </c>
      <c r="C175" s="30"/>
      <c r="D175" s="3"/>
      <c r="E175" s="6"/>
    </row>
    <row r="176" spans="2:5" ht="22.95" customHeight="1">
      <c r="B176" s="3" t="s">
        <v>167</v>
      </c>
      <c r="C176" s="30"/>
      <c r="D176" s="3"/>
      <c r="E176" s="6"/>
    </row>
    <row r="177" spans="2:5" ht="22.95" customHeight="1">
      <c r="B177" s="3" t="s">
        <v>168</v>
      </c>
      <c r="C177" s="30"/>
      <c r="D177" s="3"/>
      <c r="E177" s="6"/>
    </row>
    <row r="178" spans="2:5" ht="22.95" customHeight="1">
      <c r="B178" s="3" t="s">
        <v>169</v>
      </c>
      <c r="C178" s="30"/>
      <c r="D178" s="3"/>
      <c r="E178" s="6"/>
    </row>
    <row r="179" spans="2:5" ht="22.95" customHeight="1">
      <c r="B179" s="3" t="s">
        <v>170</v>
      </c>
      <c r="C179" s="30"/>
      <c r="D179" s="3"/>
      <c r="E179" s="6"/>
    </row>
    <row r="180" spans="2:5" ht="22.95" customHeight="1">
      <c r="B180" s="3" t="s">
        <v>171</v>
      </c>
      <c r="C180" s="30"/>
      <c r="D180" s="3"/>
      <c r="E180" s="6"/>
    </row>
    <row r="181" spans="2:5" ht="22.95" customHeight="1">
      <c r="B181" s="3" t="s">
        <v>172</v>
      </c>
      <c r="C181" s="30"/>
      <c r="D181" s="3"/>
      <c r="E181" s="6"/>
    </row>
    <row r="182" spans="2:5" ht="22.95" customHeight="1">
      <c r="B182" s="3" t="s">
        <v>173</v>
      </c>
      <c r="C182" s="30"/>
      <c r="D182" s="3"/>
      <c r="E182" s="6"/>
    </row>
    <row r="183" spans="2:5" ht="22.95" customHeight="1">
      <c r="B183" s="3" t="s">
        <v>174</v>
      </c>
      <c r="C183" s="30"/>
      <c r="D183" s="3"/>
      <c r="E183" s="6"/>
    </row>
    <row r="184" spans="2:5" ht="22.95" customHeight="1">
      <c r="B184" s="3" t="s">
        <v>175</v>
      </c>
      <c r="C184" s="30"/>
      <c r="D184" s="3"/>
      <c r="E184" s="6"/>
    </row>
    <row r="185" spans="2:5" ht="22.95" customHeight="1">
      <c r="B185" s="3" t="s">
        <v>176</v>
      </c>
      <c r="C185" s="30"/>
      <c r="D185" s="3"/>
      <c r="E185" s="6"/>
    </row>
    <row r="186" spans="2:5" ht="22.95" customHeight="1">
      <c r="B186" s="3" t="s">
        <v>177</v>
      </c>
      <c r="C186" s="30"/>
      <c r="D186" s="3"/>
      <c r="E186" s="6"/>
    </row>
    <row r="187" spans="2:5" ht="22.95" customHeight="1">
      <c r="B187" s="3" t="s">
        <v>178</v>
      </c>
      <c r="C187" s="30"/>
      <c r="D187" s="3"/>
      <c r="E187" s="6"/>
    </row>
    <row r="188" spans="2:5" ht="22.95" customHeight="1">
      <c r="B188" s="3" t="s">
        <v>179</v>
      </c>
      <c r="C188" s="30"/>
      <c r="D188" s="3"/>
      <c r="E188" s="6"/>
    </row>
    <row r="189" spans="2:5" ht="22.95" customHeight="1">
      <c r="B189" s="3" t="s">
        <v>180</v>
      </c>
      <c r="C189" s="30"/>
      <c r="D189" s="3"/>
      <c r="E189" s="6"/>
    </row>
    <row r="190" spans="2:5" ht="22.95" customHeight="1">
      <c r="B190" s="3" t="s">
        <v>181</v>
      </c>
      <c r="C190" s="30"/>
      <c r="D190" s="3"/>
      <c r="E190" s="6"/>
    </row>
    <row r="191" spans="2:5" ht="22.95" customHeight="1">
      <c r="B191" s="3" t="s">
        <v>182</v>
      </c>
      <c r="C191" s="30"/>
      <c r="D191" s="3"/>
      <c r="E191" s="6"/>
    </row>
    <row r="192" spans="2:5" ht="22.95" customHeight="1">
      <c r="B192" s="3" t="s">
        <v>183</v>
      </c>
      <c r="C192" s="30"/>
      <c r="D192" s="3"/>
      <c r="E192" s="6"/>
    </row>
    <row r="193" spans="2:5" ht="22.95" customHeight="1">
      <c r="B193" s="3" t="s">
        <v>184</v>
      </c>
      <c r="C193" s="30"/>
      <c r="D193" s="3"/>
      <c r="E193" s="6"/>
    </row>
    <row r="194" spans="2:5" ht="22.95" customHeight="1">
      <c r="B194" s="3" t="s">
        <v>185</v>
      </c>
      <c r="C194" s="30"/>
      <c r="D194" s="3"/>
      <c r="E194" s="6"/>
    </row>
    <row r="195" spans="2:5" ht="22.95" customHeight="1">
      <c r="B195" s="3" t="s">
        <v>186</v>
      </c>
      <c r="C195" s="30"/>
      <c r="D195" s="3"/>
      <c r="E195" s="6"/>
    </row>
    <row r="196" spans="2:5" ht="22.95" customHeight="1">
      <c r="B196" s="3" t="s">
        <v>187</v>
      </c>
      <c r="C196" s="30"/>
      <c r="D196" s="3"/>
      <c r="E196" s="6"/>
    </row>
    <row r="197" spans="2:5" ht="22.95" customHeight="1">
      <c r="B197" s="3" t="s">
        <v>188</v>
      </c>
      <c r="C197" s="30"/>
      <c r="D197" s="3"/>
      <c r="E197" s="6"/>
    </row>
    <row r="198" spans="2:5" ht="22.95" customHeight="1">
      <c r="B198" s="3" t="s">
        <v>189</v>
      </c>
      <c r="C198" s="30"/>
      <c r="D198" s="3"/>
      <c r="E198" s="6"/>
    </row>
    <row r="199" spans="2:5" ht="22.95" customHeight="1">
      <c r="B199" s="3" t="s">
        <v>190</v>
      </c>
      <c r="C199" s="30"/>
      <c r="D199" s="3"/>
      <c r="E199" s="6"/>
    </row>
    <row r="200" spans="2:5" ht="22.95" customHeight="1">
      <c r="B200" s="3" t="s">
        <v>191</v>
      </c>
      <c r="C200" s="30"/>
      <c r="D200" s="3"/>
      <c r="E200" s="6"/>
    </row>
    <row r="201" spans="2:5" ht="22.95" customHeight="1">
      <c r="B201" s="3" t="s">
        <v>192</v>
      </c>
      <c r="C201" s="30"/>
      <c r="D201" s="3"/>
      <c r="E201" s="6"/>
    </row>
    <row r="202" spans="2:5" ht="22.95" customHeight="1">
      <c r="B202" s="3" t="s">
        <v>193</v>
      </c>
      <c r="C202" s="30"/>
      <c r="D202" s="3"/>
      <c r="E202" s="6"/>
    </row>
    <row r="203" spans="2:5" ht="22.95" customHeight="1">
      <c r="B203" s="3" t="s">
        <v>194</v>
      </c>
      <c r="C203" s="30"/>
      <c r="D203" s="3"/>
      <c r="E203" s="6"/>
    </row>
    <row r="204" spans="2:5" ht="22.95" customHeight="1">
      <c r="B204" s="3" t="s">
        <v>195</v>
      </c>
      <c r="C204" s="30"/>
      <c r="D204" s="3"/>
      <c r="E204" s="6"/>
    </row>
    <row r="205" spans="2:5" ht="22.95" customHeight="1">
      <c r="B205" s="3" t="s">
        <v>196</v>
      </c>
      <c r="C205" s="30"/>
      <c r="D205" s="3"/>
      <c r="E205" s="6"/>
    </row>
    <row r="206" spans="2:5" ht="22.95" customHeight="1">
      <c r="B206" s="3" t="s">
        <v>197</v>
      </c>
      <c r="C206" s="30"/>
      <c r="D206" s="3"/>
      <c r="E206" s="6"/>
    </row>
    <row r="207" spans="2:5" ht="22.95" customHeight="1">
      <c r="B207" s="3" t="s">
        <v>198</v>
      </c>
      <c r="C207" s="30"/>
      <c r="D207" s="3"/>
      <c r="E207" s="6"/>
    </row>
    <row r="208" spans="2:5" ht="22.95" customHeight="1">
      <c r="B208" s="3" t="s">
        <v>199</v>
      </c>
      <c r="C208" s="30"/>
      <c r="D208" s="3"/>
      <c r="E208" s="6"/>
    </row>
    <row r="209" spans="2:5" ht="22.95" customHeight="1">
      <c r="B209" s="3" t="s">
        <v>200</v>
      </c>
      <c r="C209" s="30"/>
      <c r="D209" s="3"/>
      <c r="E209" s="6"/>
    </row>
    <row r="210" spans="2:5" ht="22.95" customHeight="1">
      <c r="B210" s="3" t="s">
        <v>201</v>
      </c>
      <c r="C210" s="30"/>
      <c r="D210" s="3"/>
      <c r="E210" s="6"/>
    </row>
    <row r="211" spans="2:5" ht="22.95" customHeight="1">
      <c r="B211" s="3" t="s">
        <v>202</v>
      </c>
      <c r="C211" s="30"/>
      <c r="D211" s="3"/>
      <c r="E211" s="6"/>
    </row>
    <row r="212" spans="2:5" ht="22.95" customHeight="1">
      <c r="B212" s="3" t="s">
        <v>203</v>
      </c>
      <c r="C212" s="30"/>
      <c r="D212" s="3"/>
      <c r="E212" s="6"/>
    </row>
    <row r="213" spans="2:5" ht="22.95" customHeight="1">
      <c r="B213" s="3" t="s">
        <v>204</v>
      </c>
      <c r="C213" s="30"/>
      <c r="D213" s="3"/>
      <c r="E213" s="6"/>
    </row>
    <row r="214" spans="2:5" ht="22.95" customHeight="1">
      <c r="B214" s="3" t="s">
        <v>205</v>
      </c>
      <c r="C214" s="30"/>
      <c r="D214" s="3"/>
      <c r="E214" s="6"/>
    </row>
    <row r="215" spans="2:5" ht="22.95" customHeight="1">
      <c r="B215" s="3" t="s">
        <v>206</v>
      </c>
      <c r="C215" s="30"/>
      <c r="D215" s="3"/>
      <c r="E215" s="6"/>
    </row>
    <row r="216" spans="2:5" ht="22.95" customHeight="1">
      <c r="B216" s="3" t="s">
        <v>207</v>
      </c>
      <c r="C216" s="30"/>
      <c r="D216" s="3"/>
      <c r="E216" s="6"/>
    </row>
    <row r="217" spans="2:5" ht="22.95" customHeight="1">
      <c r="B217" s="3" t="s">
        <v>208</v>
      </c>
      <c r="C217" s="30"/>
      <c r="D217" s="3"/>
      <c r="E217" s="6"/>
    </row>
    <row r="218" spans="2:5" ht="22.95" customHeight="1">
      <c r="B218" s="3" t="s">
        <v>209</v>
      </c>
      <c r="C218" s="30"/>
      <c r="D218" s="3"/>
      <c r="E218" s="6"/>
    </row>
    <row r="219" spans="2:5" ht="22.95" customHeight="1">
      <c r="B219" s="3" t="s">
        <v>210</v>
      </c>
      <c r="C219" s="30"/>
      <c r="D219" s="3"/>
      <c r="E219" s="6"/>
    </row>
    <row r="220" spans="2:5" ht="22.95" customHeight="1">
      <c r="B220" s="3" t="s">
        <v>211</v>
      </c>
      <c r="C220" s="30"/>
      <c r="D220" s="3"/>
      <c r="E220" s="6"/>
    </row>
    <row r="221" spans="2:5" ht="22.95" customHeight="1">
      <c r="B221" s="3" t="s">
        <v>212</v>
      </c>
      <c r="C221" s="30"/>
      <c r="D221" s="3"/>
      <c r="E221" s="6"/>
    </row>
    <row r="222" spans="2:5" ht="22.95" customHeight="1">
      <c r="B222" s="3" t="s">
        <v>213</v>
      </c>
      <c r="C222" s="30"/>
      <c r="D222" s="3"/>
      <c r="E222" s="6"/>
    </row>
    <row r="223" spans="2:5" ht="22.95" customHeight="1">
      <c r="B223" s="3" t="s">
        <v>214</v>
      </c>
      <c r="C223" s="30"/>
      <c r="D223" s="3"/>
      <c r="E223" s="6"/>
    </row>
    <row r="224" spans="2:5" ht="22.95" customHeight="1">
      <c r="B224" s="3" t="s">
        <v>215</v>
      </c>
      <c r="C224" s="30"/>
      <c r="D224" s="3"/>
      <c r="E224" s="6"/>
    </row>
    <row r="225" spans="2:5" ht="22.95" customHeight="1">
      <c r="B225" s="3" t="s">
        <v>216</v>
      </c>
      <c r="C225" s="30"/>
      <c r="D225" s="3"/>
      <c r="E225" s="6"/>
    </row>
    <row r="226" spans="2:5" ht="22.95" customHeight="1">
      <c r="B226" s="3" t="s">
        <v>217</v>
      </c>
      <c r="C226" s="30"/>
      <c r="D226" s="3"/>
      <c r="E226" s="6"/>
    </row>
    <row r="227" spans="2:5" ht="22.95" customHeight="1">
      <c r="B227" s="3" t="s">
        <v>218</v>
      </c>
      <c r="C227" s="30"/>
      <c r="D227" s="3"/>
      <c r="E227" s="6"/>
    </row>
    <row r="228" spans="2:5" ht="22.95" customHeight="1">
      <c r="B228" s="3" t="s">
        <v>219</v>
      </c>
      <c r="C228" s="30"/>
      <c r="D228" s="3"/>
      <c r="E228" s="6"/>
    </row>
    <row r="229" spans="2:5" ht="22.95" customHeight="1">
      <c r="B229" s="3" t="s">
        <v>220</v>
      </c>
      <c r="C229" s="30"/>
      <c r="D229" s="3"/>
      <c r="E229" s="6"/>
    </row>
    <row r="230" spans="2:5" ht="22.95" customHeight="1">
      <c r="B230" s="3" t="s">
        <v>221</v>
      </c>
      <c r="C230" s="30"/>
      <c r="D230" s="3"/>
      <c r="E230" s="6"/>
    </row>
    <row r="231" spans="2:5" ht="22.95" customHeight="1">
      <c r="B231" s="3" t="s">
        <v>222</v>
      </c>
      <c r="C231" s="30"/>
      <c r="D231" s="3"/>
      <c r="E231" s="6"/>
    </row>
    <row r="232" spans="2:5" ht="22.95" customHeight="1">
      <c r="B232" s="3" t="s">
        <v>223</v>
      </c>
      <c r="C232" s="30"/>
      <c r="D232" s="3"/>
      <c r="E232" s="6"/>
    </row>
    <row r="233" spans="2:5" ht="22.95" customHeight="1">
      <c r="B233" s="3" t="s">
        <v>224</v>
      </c>
      <c r="C233" s="30"/>
      <c r="D233" s="3"/>
      <c r="E233" s="6"/>
    </row>
    <row r="234" spans="2:5" ht="22.95" customHeight="1">
      <c r="B234" s="3" t="s">
        <v>225</v>
      </c>
      <c r="C234" s="30"/>
      <c r="D234" s="3"/>
      <c r="E234" s="6"/>
    </row>
    <row r="235" spans="2:5" ht="22.95" customHeight="1">
      <c r="B235" s="3" t="s">
        <v>226</v>
      </c>
      <c r="C235" s="30"/>
      <c r="D235" s="3"/>
      <c r="E235" s="6"/>
    </row>
    <row r="236" spans="2:5" ht="22.95" customHeight="1">
      <c r="B236" s="3" t="s">
        <v>227</v>
      </c>
      <c r="C236" s="30"/>
      <c r="D236" s="3"/>
      <c r="E236" s="6"/>
    </row>
    <row r="237" spans="2:5" ht="22.95" customHeight="1">
      <c r="B237" s="3" t="s">
        <v>228</v>
      </c>
      <c r="C237" s="30"/>
      <c r="D237" s="3"/>
      <c r="E237" s="6"/>
    </row>
    <row r="238" spans="2:5" ht="22.95" customHeight="1">
      <c r="B238" s="3" t="s">
        <v>229</v>
      </c>
      <c r="C238" s="30"/>
      <c r="D238" s="3"/>
      <c r="E238" s="6"/>
    </row>
    <row r="239" spans="2:5" ht="22.95" customHeight="1">
      <c r="B239" s="3" t="s">
        <v>230</v>
      </c>
      <c r="C239" s="30"/>
      <c r="D239" s="3"/>
      <c r="E239" s="6"/>
    </row>
    <row r="240" spans="2:5" ht="22.95" customHeight="1">
      <c r="B240" s="3" t="s">
        <v>231</v>
      </c>
      <c r="C240" s="30"/>
      <c r="D240" s="3"/>
      <c r="E240" s="6"/>
    </row>
    <row r="241" spans="2:5" ht="24" customHeight="1">
      <c r="B241" s="3" t="s">
        <v>232</v>
      </c>
      <c r="C241" s="30"/>
      <c r="D241" s="3"/>
      <c r="E241" s="6"/>
    </row>
    <row r="242" spans="2:5" ht="22.95" customHeight="1">
      <c r="B242" s="3" t="s">
        <v>244</v>
      </c>
      <c r="C242" s="30"/>
      <c r="E242" s="6"/>
    </row>
    <row r="243" spans="2:5" ht="22.95" customHeight="1">
      <c r="B243" s="3" t="s">
        <v>238</v>
      </c>
      <c r="C243" s="30"/>
      <c r="E243" s="6"/>
    </row>
    <row r="244" spans="2:5" ht="22.95" customHeight="1">
      <c r="B244" s="3" t="s">
        <v>239</v>
      </c>
      <c r="C244" s="30"/>
      <c r="E244" s="6"/>
    </row>
    <row r="245" spans="2:5" ht="24" customHeight="1">
      <c r="B245" s="3" t="s">
        <v>240</v>
      </c>
      <c r="C245" s="30"/>
      <c r="E245" s="6"/>
    </row>
    <row r="246" spans="2:5" ht="28.05" customHeight="1">
      <c r="B246" s="3" t="s">
        <v>248</v>
      </c>
    </row>
    <row r="247" spans="2:5" ht="28.05" customHeight="1">
      <c r="B247" s="3" t="s">
        <v>249</v>
      </c>
    </row>
    <row r="248" spans="2:5" ht="28.05" customHeight="1">
      <c r="B248" s="3" t="s">
        <v>250</v>
      </c>
    </row>
    <row r="249" spans="2:5" ht="28.05" customHeight="1">
      <c r="B249" s="3" t="s">
        <v>251</v>
      </c>
    </row>
    <row r="250" spans="2:5" ht="28.05" customHeight="1">
      <c r="B250" s="3" t="s">
        <v>252</v>
      </c>
    </row>
    <row r="251" spans="2:5" ht="28.05" customHeight="1">
      <c r="B251" s="3" t="s">
        <v>253</v>
      </c>
    </row>
    <row r="252" spans="2:5" ht="28.05" customHeight="1">
      <c r="B252" s="3" t="s">
        <v>254</v>
      </c>
    </row>
  </sheetData>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1D2A2-00ED-2D40-9626-EEED18E94E04}">
  <dimension ref="B7:D116"/>
  <sheetViews>
    <sheetView tabSelected="1" topLeftCell="A70" zoomScaleNormal="100" workbookViewId="0">
      <selection activeCell="D110" sqref="D110"/>
    </sheetView>
  </sheetViews>
  <sheetFormatPr baseColWidth="10" defaultRowHeight="15.6"/>
  <cols>
    <col min="3" max="4" width="10.796875" style="31"/>
  </cols>
  <sheetData>
    <row r="7" spans="2:4" ht="109.2">
      <c r="B7" s="32" t="s">
        <v>245</v>
      </c>
      <c r="C7" s="32" t="s">
        <v>255</v>
      </c>
      <c r="D7" s="33" t="s">
        <v>260</v>
      </c>
    </row>
    <row r="9" spans="2:4">
      <c r="B9">
        <v>1914</v>
      </c>
      <c r="C9" s="31">
        <v>6</v>
      </c>
      <c r="D9" s="31" t="s">
        <v>256</v>
      </c>
    </row>
    <row r="10" spans="2:4">
      <c r="B10">
        <v>1915</v>
      </c>
      <c r="C10" s="31">
        <v>6.1</v>
      </c>
      <c r="D10" s="31">
        <f>((C10-C9)/C9)*100</f>
        <v>1.6666666666666607</v>
      </c>
    </row>
    <row r="11" spans="2:4">
      <c r="B11">
        <v>1916</v>
      </c>
      <c r="C11" s="31">
        <v>6.4</v>
      </c>
      <c r="D11" s="31">
        <f t="shared" ref="D11:D74" si="0">((C11-C10)/C10)*100</f>
        <v>4.9180327868852576</v>
      </c>
    </row>
    <row r="12" spans="2:4">
      <c r="B12">
        <v>1917</v>
      </c>
      <c r="C12" s="31">
        <v>7.4</v>
      </c>
      <c r="D12" s="31">
        <f t="shared" si="0"/>
        <v>15.625</v>
      </c>
    </row>
    <row r="13" spans="2:4">
      <c r="B13">
        <v>1918</v>
      </c>
      <c r="C13" s="31">
        <v>8.4</v>
      </c>
      <c r="D13" s="31">
        <f t="shared" si="0"/>
        <v>13.513513513513512</v>
      </c>
    </row>
    <row r="14" spans="2:4">
      <c r="B14">
        <v>1919</v>
      </c>
      <c r="C14" s="31">
        <v>9.5</v>
      </c>
      <c r="D14" s="31">
        <f t="shared" si="0"/>
        <v>13.09523809523809</v>
      </c>
    </row>
    <row r="15" spans="2:4">
      <c r="B15">
        <v>1920</v>
      </c>
      <c r="C15" s="31">
        <v>10.6</v>
      </c>
      <c r="D15" s="31">
        <f t="shared" si="0"/>
        <v>11.578947368421048</v>
      </c>
    </row>
    <row r="16" spans="2:4">
      <c r="B16">
        <v>1921</v>
      </c>
      <c r="C16" s="31">
        <v>11</v>
      </c>
      <c r="D16" s="31">
        <f t="shared" si="0"/>
        <v>3.7735849056603805</v>
      </c>
    </row>
    <row r="17" spans="2:4">
      <c r="B17">
        <v>1922</v>
      </c>
      <c r="C17" s="31">
        <v>9.4</v>
      </c>
      <c r="D17" s="31">
        <f t="shared" si="0"/>
        <v>-14.545454545454541</v>
      </c>
    </row>
    <row r="18" spans="2:4">
      <c r="B18">
        <v>1923</v>
      </c>
      <c r="C18" s="31">
        <v>9.1999999999999993</v>
      </c>
      <c r="D18" s="31">
        <f t="shared" si="0"/>
        <v>-2.1276595744680966</v>
      </c>
    </row>
    <row r="19" spans="2:4">
      <c r="B19">
        <v>1924</v>
      </c>
      <c r="C19" s="31">
        <v>9.1999999999999993</v>
      </c>
      <c r="D19" s="31">
        <f t="shared" si="0"/>
        <v>0</v>
      </c>
    </row>
    <row r="20" spans="2:4">
      <c r="B20">
        <v>1925</v>
      </c>
      <c r="C20" s="31">
        <v>9.1999999999999993</v>
      </c>
      <c r="D20" s="31">
        <f t="shared" si="0"/>
        <v>0</v>
      </c>
    </row>
    <row r="21" spans="2:4">
      <c r="B21">
        <v>1926</v>
      </c>
      <c r="C21" s="31">
        <v>9.1999999999999993</v>
      </c>
      <c r="D21" s="31">
        <f t="shared" si="0"/>
        <v>0</v>
      </c>
    </row>
    <row r="22" spans="2:4">
      <c r="B22">
        <v>1927</v>
      </c>
      <c r="C22" s="31">
        <v>9.1999999999999993</v>
      </c>
      <c r="D22" s="31">
        <f t="shared" si="0"/>
        <v>0</v>
      </c>
    </row>
    <row r="23" spans="2:4">
      <c r="B23">
        <v>1928</v>
      </c>
      <c r="C23" s="31">
        <v>9.1999999999999993</v>
      </c>
      <c r="D23" s="31">
        <f t="shared" si="0"/>
        <v>0</v>
      </c>
    </row>
    <row r="24" spans="2:4">
      <c r="B24">
        <v>1929</v>
      </c>
      <c r="C24" s="31">
        <v>9.1999999999999993</v>
      </c>
      <c r="D24" s="31">
        <f t="shared" si="0"/>
        <v>0</v>
      </c>
    </row>
    <row r="25" spans="2:4">
      <c r="B25">
        <v>1930</v>
      </c>
      <c r="C25" s="31">
        <v>9.4</v>
      </c>
      <c r="D25" s="31">
        <f t="shared" si="0"/>
        <v>2.1739130434782727</v>
      </c>
    </row>
    <row r="26" spans="2:4">
      <c r="B26">
        <v>1931</v>
      </c>
      <c r="C26" s="31">
        <v>8.6999999999999993</v>
      </c>
      <c r="D26" s="31">
        <f t="shared" si="0"/>
        <v>-7.4468085106383084</v>
      </c>
    </row>
    <row r="27" spans="2:4">
      <c r="B27">
        <v>1932</v>
      </c>
      <c r="C27" s="31">
        <v>7.8</v>
      </c>
      <c r="D27" s="31">
        <f t="shared" si="0"/>
        <v>-10.344827586206891</v>
      </c>
    </row>
    <row r="28" spans="2:4">
      <c r="B28">
        <v>1933</v>
      </c>
      <c r="C28" s="31">
        <v>7.2</v>
      </c>
      <c r="D28" s="31">
        <f t="shared" si="0"/>
        <v>-7.692307692307689</v>
      </c>
    </row>
    <row r="29" spans="2:4">
      <c r="B29">
        <v>1934</v>
      </c>
      <c r="C29" s="31">
        <v>7.2</v>
      </c>
      <c r="D29" s="31">
        <f t="shared" si="0"/>
        <v>0</v>
      </c>
    </row>
    <row r="30" spans="2:4">
      <c r="B30">
        <v>1935</v>
      </c>
      <c r="C30" s="31">
        <v>7.2</v>
      </c>
      <c r="D30" s="31">
        <f t="shared" si="0"/>
        <v>0</v>
      </c>
    </row>
    <row r="31" spans="2:4">
      <c r="B31">
        <v>1936</v>
      </c>
      <c r="C31" s="31">
        <v>7.4</v>
      </c>
      <c r="D31" s="31">
        <f t="shared" si="0"/>
        <v>2.7777777777777799</v>
      </c>
    </row>
    <row r="32" spans="2:4">
      <c r="B32">
        <v>1937</v>
      </c>
      <c r="C32" s="31">
        <v>7.6</v>
      </c>
      <c r="D32" s="31">
        <f t="shared" si="0"/>
        <v>2.7027027027026933</v>
      </c>
    </row>
    <row r="33" spans="2:4">
      <c r="B33">
        <v>1938</v>
      </c>
      <c r="C33" s="31">
        <v>7.7</v>
      </c>
      <c r="D33" s="31">
        <f t="shared" si="0"/>
        <v>1.3157894736842175</v>
      </c>
    </row>
    <row r="34" spans="2:4">
      <c r="B34">
        <v>1939</v>
      </c>
      <c r="C34" s="31">
        <v>7.6</v>
      </c>
      <c r="D34" s="31">
        <f t="shared" si="0"/>
        <v>-1.2987012987013056</v>
      </c>
    </row>
    <row r="35" spans="2:4">
      <c r="B35">
        <v>1940</v>
      </c>
      <c r="C35" s="31">
        <v>7.8</v>
      </c>
      <c r="D35" s="31">
        <f t="shared" si="0"/>
        <v>2.6315789473684239</v>
      </c>
    </row>
    <row r="36" spans="2:4">
      <c r="B36">
        <v>1941</v>
      </c>
      <c r="C36" s="31">
        <v>8.1999999999999993</v>
      </c>
      <c r="D36" s="31">
        <f t="shared" si="0"/>
        <v>5.1282051282051215</v>
      </c>
    </row>
    <row r="37" spans="2:4">
      <c r="B37">
        <v>1942</v>
      </c>
      <c r="C37" s="31">
        <v>8.6999999999999993</v>
      </c>
      <c r="D37" s="31">
        <f t="shared" si="0"/>
        <v>6.0975609756097571</v>
      </c>
    </row>
    <row r="38" spans="2:4">
      <c r="B38">
        <v>1943</v>
      </c>
      <c r="C38" s="31">
        <v>8.8000000000000007</v>
      </c>
      <c r="D38" s="31">
        <f t="shared" si="0"/>
        <v>1.1494252873563382</v>
      </c>
    </row>
    <row r="39" spans="2:4">
      <c r="B39">
        <v>1944</v>
      </c>
      <c r="C39" s="31">
        <v>9.1</v>
      </c>
      <c r="D39" s="31">
        <f t="shared" si="0"/>
        <v>3.4090909090908972</v>
      </c>
    </row>
    <row r="40" spans="2:4">
      <c r="B40">
        <v>1945</v>
      </c>
      <c r="C40" s="31">
        <v>9</v>
      </c>
      <c r="D40" s="31">
        <f t="shared" si="0"/>
        <v>-1.098901098901095</v>
      </c>
    </row>
    <row r="41" spans="2:4">
      <c r="B41">
        <v>1946</v>
      </c>
      <c r="C41" s="31">
        <v>9.1999999999999993</v>
      </c>
      <c r="D41" s="31">
        <f t="shared" si="0"/>
        <v>2.2222222222222143</v>
      </c>
    </row>
    <row r="42" spans="2:4">
      <c r="B42">
        <v>1947</v>
      </c>
      <c r="C42" s="31">
        <v>9.6999999999999993</v>
      </c>
      <c r="D42" s="31">
        <f t="shared" si="0"/>
        <v>5.4347826086956523</v>
      </c>
    </row>
    <row r="43" spans="2:4">
      <c r="B43">
        <v>1948</v>
      </c>
      <c r="C43" s="31">
        <v>11.2</v>
      </c>
      <c r="D43" s="31">
        <f t="shared" si="0"/>
        <v>15.463917525773196</v>
      </c>
    </row>
    <row r="44" spans="2:4">
      <c r="B44">
        <v>1949</v>
      </c>
      <c r="C44" s="31">
        <v>12.1</v>
      </c>
      <c r="D44" s="31">
        <f t="shared" si="0"/>
        <v>8.0357142857142883</v>
      </c>
    </row>
    <row r="45" spans="2:4">
      <c r="B45">
        <v>1950</v>
      </c>
      <c r="C45" s="31">
        <v>12.1</v>
      </c>
      <c r="D45" s="31">
        <f t="shared" si="0"/>
        <v>0</v>
      </c>
    </row>
    <row r="46" spans="2:4">
      <c r="B46">
        <v>1951</v>
      </c>
      <c r="C46" s="31">
        <v>13</v>
      </c>
      <c r="D46" s="31">
        <f t="shared" si="0"/>
        <v>7.4380165289256226</v>
      </c>
    </row>
    <row r="47" spans="2:4">
      <c r="B47">
        <v>1952</v>
      </c>
      <c r="C47" s="31">
        <v>14.4</v>
      </c>
      <c r="D47" s="31">
        <f t="shared" si="0"/>
        <v>10.769230769230772</v>
      </c>
    </row>
    <row r="48" spans="2:4">
      <c r="B48">
        <v>1953</v>
      </c>
      <c r="C48" s="31">
        <v>14.1</v>
      </c>
      <c r="D48" s="31">
        <f t="shared" si="0"/>
        <v>-2.0833333333333379</v>
      </c>
    </row>
    <row r="49" spans="2:4">
      <c r="B49">
        <v>1954</v>
      </c>
      <c r="C49" s="31">
        <v>14.1</v>
      </c>
      <c r="D49" s="31">
        <f t="shared" si="0"/>
        <v>0</v>
      </c>
    </row>
    <row r="50" spans="2:4">
      <c r="B50">
        <v>1955</v>
      </c>
      <c r="C50" s="31">
        <v>14.1</v>
      </c>
      <c r="D50" s="31">
        <f t="shared" si="0"/>
        <v>0</v>
      </c>
    </row>
    <row r="51" spans="2:4">
      <c r="B51">
        <v>1956</v>
      </c>
      <c r="C51" s="31">
        <v>14.2</v>
      </c>
      <c r="D51" s="31">
        <f t="shared" si="0"/>
        <v>0.70921985815602584</v>
      </c>
    </row>
    <row r="52" spans="2:4">
      <c r="B52">
        <v>1957</v>
      </c>
      <c r="C52" s="31">
        <v>14.6</v>
      </c>
      <c r="D52" s="31">
        <f t="shared" si="0"/>
        <v>2.8169014084507067</v>
      </c>
    </row>
    <row r="53" spans="2:4">
      <c r="B53">
        <v>1958</v>
      </c>
      <c r="C53" s="31">
        <v>15</v>
      </c>
      <c r="D53" s="31">
        <f t="shared" si="0"/>
        <v>2.7397260273972628</v>
      </c>
    </row>
    <row r="54" spans="2:4">
      <c r="B54">
        <v>1959</v>
      </c>
      <c r="C54" s="31">
        <v>15.3</v>
      </c>
      <c r="D54" s="31">
        <f t="shared" si="0"/>
        <v>2.0000000000000049</v>
      </c>
    </row>
    <row r="55" spans="2:4">
      <c r="B55">
        <v>1960</v>
      </c>
      <c r="C55" s="31">
        <v>15.5</v>
      </c>
      <c r="D55" s="31">
        <f t="shared" si="0"/>
        <v>1.3071895424836555</v>
      </c>
    </row>
    <row r="56" spans="2:4">
      <c r="B56">
        <v>1961</v>
      </c>
      <c r="C56" s="31">
        <v>15.7</v>
      </c>
      <c r="D56" s="31">
        <f t="shared" si="0"/>
        <v>1.2903225806451568</v>
      </c>
    </row>
    <row r="57" spans="2:4">
      <c r="B57">
        <v>1962</v>
      </c>
      <c r="C57" s="31">
        <v>15.7</v>
      </c>
      <c r="D57" s="31">
        <f t="shared" si="0"/>
        <v>0</v>
      </c>
    </row>
    <row r="58" spans="2:4">
      <c r="B58">
        <v>1963</v>
      </c>
      <c r="C58" s="31">
        <v>16</v>
      </c>
      <c r="D58" s="31">
        <f t="shared" si="0"/>
        <v>1.9108280254777117</v>
      </c>
    </row>
    <row r="59" spans="2:4">
      <c r="B59">
        <v>1964</v>
      </c>
      <c r="C59" s="31">
        <v>16.3</v>
      </c>
      <c r="D59" s="31">
        <f t="shared" si="0"/>
        <v>1.8750000000000044</v>
      </c>
    </row>
    <row r="60" spans="2:4">
      <c r="B60">
        <v>1965</v>
      </c>
      <c r="C60" s="31">
        <v>16.600000000000001</v>
      </c>
      <c r="D60" s="31">
        <f t="shared" si="0"/>
        <v>1.8404907975460165</v>
      </c>
    </row>
    <row r="61" spans="2:4">
      <c r="B61">
        <v>1966</v>
      </c>
      <c r="C61" s="31">
        <v>17.100000000000001</v>
      </c>
      <c r="D61" s="31">
        <f t="shared" si="0"/>
        <v>3.012048192771084</v>
      </c>
    </row>
    <row r="62" spans="2:4">
      <c r="B62">
        <v>1967</v>
      </c>
      <c r="C62" s="31">
        <v>17.7</v>
      </c>
      <c r="D62" s="31">
        <f t="shared" si="0"/>
        <v>3.5087719298245488</v>
      </c>
    </row>
    <row r="63" spans="2:4">
      <c r="B63">
        <v>1968</v>
      </c>
      <c r="C63" s="31">
        <v>18.5</v>
      </c>
      <c r="D63" s="31">
        <f t="shared" si="0"/>
        <v>4.5197740112994396</v>
      </c>
    </row>
    <row r="64" spans="2:4">
      <c r="B64">
        <v>1969</v>
      </c>
      <c r="C64" s="31">
        <v>19.2</v>
      </c>
      <c r="D64" s="31">
        <f t="shared" si="0"/>
        <v>3.7837837837837798</v>
      </c>
    </row>
    <row r="65" spans="2:4">
      <c r="B65">
        <v>1970</v>
      </c>
      <c r="C65" s="31">
        <v>20.2</v>
      </c>
      <c r="D65" s="31">
        <f t="shared" si="0"/>
        <v>5.2083333333333339</v>
      </c>
    </row>
    <row r="66" spans="2:4">
      <c r="B66">
        <v>1971</v>
      </c>
      <c r="C66" s="31">
        <v>20.399999999999999</v>
      </c>
      <c r="D66" s="31">
        <f t="shared" si="0"/>
        <v>0.99009900990098665</v>
      </c>
    </row>
    <row r="67" spans="2:4">
      <c r="B67">
        <v>1972</v>
      </c>
      <c r="C67" s="31">
        <v>21.4</v>
      </c>
      <c r="D67" s="31">
        <f t="shared" si="0"/>
        <v>4.9019607843137258</v>
      </c>
    </row>
    <row r="68" spans="2:4">
      <c r="B68">
        <v>1973</v>
      </c>
      <c r="C68" s="31">
        <v>22.6</v>
      </c>
      <c r="D68" s="31">
        <f t="shared" si="0"/>
        <v>5.6074766355140326</v>
      </c>
    </row>
    <row r="69" spans="2:4">
      <c r="B69">
        <v>1974</v>
      </c>
      <c r="C69" s="31">
        <v>24.7</v>
      </c>
      <c r="D69" s="31">
        <f t="shared" si="0"/>
        <v>9.2920353982300785</v>
      </c>
    </row>
    <row r="70" spans="2:4">
      <c r="B70">
        <v>1975</v>
      </c>
      <c r="C70" s="31">
        <v>27.6</v>
      </c>
      <c r="D70" s="31">
        <f t="shared" si="0"/>
        <v>11.740890688259119</v>
      </c>
    </row>
    <row r="71" spans="2:4">
      <c r="B71">
        <v>1976</v>
      </c>
      <c r="C71" s="31">
        <v>30.3</v>
      </c>
      <c r="D71" s="31">
        <f t="shared" si="0"/>
        <v>9.7826086956521703</v>
      </c>
    </row>
    <row r="72" spans="2:4">
      <c r="B72">
        <v>1977</v>
      </c>
      <c r="C72" s="31">
        <v>32.200000000000003</v>
      </c>
      <c r="D72" s="31">
        <f t="shared" si="0"/>
        <v>6.2706270627062768</v>
      </c>
    </row>
    <row r="73" spans="2:4">
      <c r="B73">
        <v>1978</v>
      </c>
      <c r="C73" s="31">
        <v>35.1</v>
      </c>
      <c r="D73" s="31">
        <f t="shared" si="0"/>
        <v>9.0062111801242182</v>
      </c>
    </row>
    <row r="74" spans="2:4">
      <c r="B74">
        <v>1979</v>
      </c>
      <c r="C74" s="31">
        <v>38.1</v>
      </c>
      <c r="D74" s="31">
        <f t="shared" si="0"/>
        <v>8.5470085470085468</v>
      </c>
    </row>
    <row r="75" spans="2:4">
      <c r="B75">
        <v>1980</v>
      </c>
      <c r="C75" s="31">
        <v>41.8</v>
      </c>
      <c r="D75" s="31">
        <f t="shared" ref="D75:D116" si="1">((C75-C74)/C74)*100</f>
        <v>9.7112860892388344</v>
      </c>
    </row>
    <row r="76" spans="2:4">
      <c r="B76">
        <v>1981</v>
      </c>
      <c r="C76" s="31">
        <v>46.9</v>
      </c>
      <c r="D76" s="31">
        <f t="shared" si="1"/>
        <v>12.200956937799047</v>
      </c>
    </row>
    <row r="77" spans="2:4">
      <c r="B77">
        <v>1982</v>
      </c>
      <c r="C77" s="31">
        <v>52.2</v>
      </c>
      <c r="D77" s="31">
        <f t="shared" si="1"/>
        <v>11.300639658848624</v>
      </c>
    </row>
    <row r="78" spans="2:4">
      <c r="B78">
        <v>1983</v>
      </c>
      <c r="C78" s="31">
        <v>56.5</v>
      </c>
      <c r="D78" s="31">
        <f t="shared" si="1"/>
        <v>8.2375478927203005</v>
      </c>
    </row>
    <row r="79" spans="2:4">
      <c r="B79">
        <v>1984</v>
      </c>
      <c r="C79" s="31">
        <v>59.6</v>
      </c>
      <c r="D79" s="31">
        <f t="shared" si="1"/>
        <v>5.4867256637168165</v>
      </c>
    </row>
    <row r="80" spans="2:4">
      <c r="B80">
        <v>1985</v>
      </c>
      <c r="C80" s="31">
        <v>61.7</v>
      </c>
      <c r="D80" s="31">
        <f t="shared" si="1"/>
        <v>3.5234899328859086</v>
      </c>
    </row>
    <row r="81" spans="2:4">
      <c r="B81">
        <v>1986</v>
      </c>
      <c r="C81" s="31">
        <v>64.400000000000006</v>
      </c>
      <c r="D81" s="31">
        <f t="shared" si="1"/>
        <v>4.3760129659643479</v>
      </c>
    </row>
    <row r="82" spans="2:4">
      <c r="B82">
        <v>1987</v>
      </c>
      <c r="C82" s="31">
        <v>67</v>
      </c>
      <c r="D82" s="31">
        <f t="shared" si="1"/>
        <v>4.0372670807453321</v>
      </c>
    </row>
    <row r="83" spans="2:4">
      <c r="B83">
        <v>1988</v>
      </c>
      <c r="C83" s="31">
        <v>69.7</v>
      </c>
      <c r="D83" s="31">
        <f t="shared" si="1"/>
        <v>4.0298507462686608</v>
      </c>
    </row>
    <row r="84" spans="2:4">
      <c r="B84">
        <v>1989</v>
      </c>
      <c r="C84" s="31">
        <v>72.7</v>
      </c>
      <c r="D84" s="31">
        <f t="shared" si="1"/>
        <v>4.3041606886657098</v>
      </c>
    </row>
    <row r="85" spans="2:4">
      <c r="B85">
        <v>1990</v>
      </c>
      <c r="C85" s="31">
        <v>76.7</v>
      </c>
      <c r="D85" s="31">
        <f t="shared" si="1"/>
        <v>5.5020632737276474</v>
      </c>
    </row>
    <row r="86" spans="2:4">
      <c r="B86">
        <v>1991</v>
      </c>
      <c r="C86" s="31">
        <v>82</v>
      </c>
      <c r="D86" s="31">
        <f t="shared" si="1"/>
        <v>6.9100391134289394</v>
      </c>
    </row>
    <row r="87" spans="2:4">
      <c r="B87">
        <v>1992</v>
      </c>
      <c r="C87" s="31">
        <v>83.3</v>
      </c>
      <c r="D87" s="31">
        <f t="shared" si="1"/>
        <v>1.5853658536585331</v>
      </c>
    </row>
    <row r="88" spans="2:4">
      <c r="B88">
        <v>1993</v>
      </c>
      <c r="C88" s="31">
        <v>85</v>
      </c>
      <c r="D88" s="31">
        <f t="shared" si="1"/>
        <v>2.0408163265306158</v>
      </c>
    </row>
    <row r="89" spans="2:4">
      <c r="B89">
        <v>1994</v>
      </c>
      <c r="C89" s="31">
        <v>86.1</v>
      </c>
      <c r="D89" s="31">
        <f t="shared" si="1"/>
        <v>1.2941176470588167</v>
      </c>
    </row>
    <row r="90" spans="2:4">
      <c r="B90">
        <v>1995</v>
      </c>
      <c r="C90" s="31">
        <v>86.6</v>
      </c>
      <c r="D90" s="31">
        <f t="shared" si="1"/>
        <v>0.58072009291521487</v>
      </c>
    </row>
    <row r="91" spans="2:4">
      <c r="B91">
        <v>1996</v>
      </c>
      <c r="C91" s="31">
        <v>88</v>
      </c>
      <c r="D91" s="31">
        <f t="shared" si="1"/>
        <v>1.6166281755196372</v>
      </c>
    </row>
    <row r="92" spans="2:4">
      <c r="B92">
        <v>1997</v>
      </c>
      <c r="C92" s="31">
        <v>89.9</v>
      </c>
      <c r="D92" s="31">
        <f t="shared" si="1"/>
        <v>2.1590909090909158</v>
      </c>
    </row>
    <row r="93" spans="2:4">
      <c r="B93">
        <v>1998</v>
      </c>
      <c r="C93" s="31">
        <v>90.9</v>
      </c>
      <c r="D93" s="31">
        <f t="shared" si="1"/>
        <v>1.1123470522803114</v>
      </c>
    </row>
    <row r="94" spans="2:4">
      <c r="B94">
        <v>1999</v>
      </c>
      <c r="C94" s="31">
        <v>91.5</v>
      </c>
      <c r="D94" s="31">
        <f t="shared" si="1"/>
        <v>0.66006600660065373</v>
      </c>
    </row>
    <row r="95" spans="2:4">
      <c r="B95">
        <v>2000</v>
      </c>
      <c r="C95" s="31">
        <v>93.5</v>
      </c>
      <c r="D95" s="31">
        <f t="shared" si="1"/>
        <v>2.1857923497267762</v>
      </c>
    </row>
    <row r="96" spans="2:4">
      <c r="B96">
        <v>2001</v>
      </c>
      <c r="C96" s="31">
        <v>96.3</v>
      </c>
      <c r="D96" s="31">
        <f t="shared" si="1"/>
        <v>2.9946524064171096</v>
      </c>
    </row>
    <row r="97" spans="2:4">
      <c r="B97">
        <v>2002</v>
      </c>
      <c r="C97" s="31">
        <v>97.6</v>
      </c>
      <c r="D97" s="31">
        <f t="shared" si="1"/>
        <v>1.3499480789200387</v>
      </c>
    </row>
    <row r="98" spans="2:4">
      <c r="B98">
        <v>2003</v>
      </c>
      <c r="C98" s="31">
        <v>102</v>
      </c>
      <c r="D98" s="31">
        <f t="shared" si="1"/>
        <v>4.5081967213114815</v>
      </c>
    </row>
    <row r="99" spans="2:4">
      <c r="B99">
        <v>2004</v>
      </c>
      <c r="C99" s="31">
        <v>103.3</v>
      </c>
      <c r="D99" s="31">
        <f t="shared" si="1"/>
        <v>1.2745098039215659</v>
      </c>
    </row>
    <row r="100" spans="2:4">
      <c r="B100">
        <v>2005</v>
      </c>
      <c r="C100" s="31">
        <v>105.3</v>
      </c>
      <c r="D100" s="31">
        <f t="shared" si="1"/>
        <v>1.9361084220716358</v>
      </c>
    </row>
    <row r="101" spans="2:4">
      <c r="B101">
        <v>2006</v>
      </c>
      <c r="C101" s="31">
        <v>108.2</v>
      </c>
      <c r="D101" s="31">
        <f t="shared" si="1"/>
        <v>2.7540360873694261</v>
      </c>
    </row>
    <row r="102" spans="2:4">
      <c r="B102">
        <v>2007</v>
      </c>
      <c r="C102" s="31">
        <v>109.4</v>
      </c>
      <c r="D102" s="31">
        <f t="shared" si="1"/>
        <v>1.1090573012939027</v>
      </c>
    </row>
    <row r="103" spans="2:4">
      <c r="B103">
        <v>2008</v>
      </c>
      <c r="C103" s="31">
        <v>111.8</v>
      </c>
      <c r="D103" s="31">
        <f t="shared" si="1"/>
        <v>2.1937842778793337</v>
      </c>
    </row>
    <row r="104" spans="2:4">
      <c r="B104">
        <v>2009</v>
      </c>
      <c r="C104" s="31">
        <v>113</v>
      </c>
      <c r="D104" s="31">
        <f t="shared" si="1"/>
        <v>1.0733452593917736</v>
      </c>
    </row>
    <row r="105" spans="2:4">
      <c r="B105">
        <v>2010</v>
      </c>
      <c r="C105" s="31">
        <v>115.1</v>
      </c>
      <c r="D105" s="31">
        <f t="shared" si="1"/>
        <v>1.8584070796460128</v>
      </c>
    </row>
    <row r="106" spans="2:4">
      <c r="B106">
        <v>2011</v>
      </c>
      <c r="C106" s="31">
        <v>117.8</v>
      </c>
      <c r="D106" s="31">
        <f t="shared" si="1"/>
        <v>2.345786272806258</v>
      </c>
    </row>
    <row r="107" spans="2:4">
      <c r="B107">
        <v>2012</v>
      </c>
      <c r="C107" s="31">
        <v>120.7</v>
      </c>
      <c r="D107" s="31">
        <f t="shared" si="1"/>
        <v>2.4617996604414309</v>
      </c>
    </row>
    <row r="108" spans="2:4">
      <c r="B108">
        <v>2013</v>
      </c>
      <c r="C108" s="31">
        <v>121.3</v>
      </c>
      <c r="D108" s="31">
        <f t="shared" si="1"/>
        <v>0.49710024855011953</v>
      </c>
    </row>
    <row r="109" spans="2:4">
      <c r="B109">
        <v>2014</v>
      </c>
      <c r="C109" s="31">
        <v>123.1</v>
      </c>
      <c r="D109" s="31">
        <f t="shared" si="1"/>
        <v>1.4839241549876316</v>
      </c>
    </row>
    <row r="110" spans="2:4">
      <c r="B110">
        <v>2015</v>
      </c>
      <c r="C110" s="31">
        <v>124.3</v>
      </c>
      <c r="D110" s="31">
        <f t="shared" si="1"/>
        <v>0.97481722177092023</v>
      </c>
    </row>
    <row r="111" spans="2:4">
      <c r="B111">
        <v>2016</v>
      </c>
      <c r="C111" s="31">
        <v>126.8</v>
      </c>
      <c r="D111" s="31">
        <f t="shared" si="1"/>
        <v>2.0112630732099759</v>
      </c>
    </row>
    <row r="112" spans="2:4">
      <c r="B112">
        <v>2017</v>
      </c>
      <c r="C112" s="31">
        <v>129.5</v>
      </c>
      <c r="D112" s="31">
        <f t="shared" si="1"/>
        <v>2.129337539432179</v>
      </c>
    </row>
    <row r="113" spans="2:4">
      <c r="B113">
        <v>2018</v>
      </c>
      <c r="C113" s="31">
        <v>131.69999999999999</v>
      </c>
      <c r="D113" s="31">
        <f t="shared" si="1"/>
        <v>1.6988416988416899</v>
      </c>
    </row>
    <row r="114" spans="2:4">
      <c r="B114">
        <v>2019</v>
      </c>
      <c r="C114" s="31">
        <v>133.6</v>
      </c>
      <c r="D114" s="31">
        <f t="shared" si="1"/>
        <v>1.4426727410782125</v>
      </c>
    </row>
    <row r="115" spans="2:4">
      <c r="B115">
        <v>2020</v>
      </c>
      <c r="C115" s="31">
        <v>136.80000000000001</v>
      </c>
      <c r="D115" s="31">
        <f t="shared" si="1"/>
        <v>2.3952095808383365</v>
      </c>
    </row>
    <row r="116" spans="2:4">
      <c r="B116">
        <v>2021</v>
      </c>
      <c r="C116" s="31">
        <v>138.19999999999999</v>
      </c>
      <c r="D116" s="31">
        <f t="shared" si="1"/>
        <v>1.0233918128654804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Question 4</vt:lpstr>
      <vt:lpstr>Question 5</vt:lpstr>
      <vt:lpstr>PIB trimestriel</vt:lpstr>
      <vt:lpstr>IPC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decah</cp:lastModifiedBy>
  <dcterms:created xsi:type="dcterms:W3CDTF">2020-01-19T22:15:06Z</dcterms:created>
  <dcterms:modified xsi:type="dcterms:W3CDTF">2022-02-19T04:22:19Z</dcterms:modified>
</cp:coreProperties>
</file>