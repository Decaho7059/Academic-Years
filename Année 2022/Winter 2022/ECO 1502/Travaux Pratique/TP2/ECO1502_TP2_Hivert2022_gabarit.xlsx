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cah\Documents\UOTTAWA-ST PAUL-NEW\Hiver 2022\ECO 1502\Travaux Pratique\TP2\"/>
    </mc:Choice>
  </mc:AlternateContent>
  <xr:revisionPtr revIDLastSave="0" documentId="13_ncr:1_{D44115BD-9FDC-440D-8BBE-4B5292F9B0DE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Graphe IPC" sheetId="22" r:id="rId1"/>
    <sheet name="IPC" sheetId="11" r:id="rId2"/>
    <sheet name="calculs" sheetId="19" r:id="rId3"/>
    <sheet name="Graphe salaire" sheetId="24" r:id="rId4"/>
    <sheet name="salaire minimum" sheetId="21" r:id="rId5"/>
    <sheet name="Revenu disponible" sheetId="16" r:id="rId6"/>
    <sheet name="IDH" sheetId="18" r:id="rId7"/>
    <sheet name="Graphe IPC_" sheetId="2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2" i="16" l="1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7" i="16"/>
  <c r="F10" i="16"/>
  <c r="F9" i="16"/>
  <c r="F8" i="16"/>
  <c r="J52" i="21"/>
  <c r="J53" i="21"/>
  <c r="J7" i="21"/>
  <c r="J6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4" i="21"/>
  <c r="J55" i="21"/>
  <c r="J56" i="21"/>
  <c r="J57" i="21"/>
  <c r="J58" i="21"/>
  <c r="J59" i="21"/>
  <c r="J60" i="21"/>
  <c r="J61" i="21"/>
  <c r="J5" i="21"/>
  <c r="I62" i="21"/>
  <c r="H62" i="21"/>
  <c r="G62" i="21"/>
  <c r="I61" i="21"/>
  <c r="I60" i="21"/>
  <c r="I59" i="2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H5" i="21"/>
  <c r="H49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AC29" i="11"/>
  <c r="P29" i="11"/>
  <c r="AC7" i="11" l="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C25" i="16"/>
  <c r="C29" i="16" s="1"/>
  <c r="C33" i="16" s="1"/>
  <c r="C37" i="16" s="1"/>
  <c r="C41" i="16" s="1"/>
  <c r="C45" i="16" s="1"/>
  <c r="C49" i="16" s="1"/>
  <c r="C53" i="16" s="1"/>
  <c r="C57" i="16" s="1"/>
  <c r="C61" i="16" s="1"/>
  <c r="C65" i="16" s="1"/>
  <c r="C69" i="16" s="1"/>
  <c r="C73" i="16" s="1"/>
  <c r="C77" i="16" s="1"/>
  <c r="C81" i="16" s="1"/>
  <c r="C85" i="16" s="1"/>
  <c r="C89" i="16" s="1"/>
  <c r="C93" i="16" s="1"/>
  <c r="C97" i="16" s="1"/>
  <c r="C101" i="16" s="1"/>
  <c r="C105" i="16" s="1"/>
  <c r="C109" i="16" s="1"/>
  <c r="C113" i="16" s="1"/>
  <c r="C117" i="16" s="1"/>
  <c r="C121" i="16" s="1"/>
  <c r="C125" i="16" s="1"/>
  <c r="C129" i="16" s="1"/>
  <c r="C133" i="16" s="1"/>
  <c r="C137" i="16" s="1"/>
  <c r="C141" i="16" s="1"/>
  <c r="C145" i="16" s="1"/>
  <c r="C149" i="16" s="1"/>
  <c r="C153" i="16" s="1"/>
  <c r="C157" i="16" s="1"/>
  <c r="C161" i="16" s="1"/>
  <c r="C165" i="16" s="1"/>
  <c r="C169" i="16" s="1"/>
  <c r="C173" i="16" s="1"/>
  <c r="C177" i="16" s="1"/>
  <c r="C181" i="16" s="1"/>
  <c r="C185" i="16" s="1"/>
  <c r="C189" i="16" s="1"/>
  <c r="C193" i="16" s="1"/>
  <c r="C197" i="16" s="1"/>
  <c r="C201" i="16" s="1"/>
  <c r="C205" i="16" s="1"/>
  <c r="C209" i="16" s="1"/>
  <c r="C213" i="16" s="1"/>
  <c r="C217" i="16" s="1"/>
  <c r="C221" i="16" s="1"/>
  <c r="C225" i="16" s="1"/>
  <c r="C229" i="16" s="1"/>
  <c r="C233" i="16" s="1"/>
  <c r="C237" i="16" s="1"/>
  <c r="C241" i="16" s="1"/>
  <c r="C245" i="16" s="1"/>
  <c r="C18" i="16"/>
  <c r="C22" i="16" s="1"/>
  <c r="C26" i="16" s="1"/>
  <c r="C30" i="16" s="1"/>
  <c r="C34" i="16" s="1"/>
  <c r="C38" i="16" s="1"/>
  <c r="C42" i="16" s="1"/>
  <c r="C46" i="16" s="1"/>
  <c r="C50" i="16" s="1"/>
  <c r="C54" i="16" s="1"/>
  <c r="C58" i="16" s="1"/>
  <c r="C62" i="16" s="1"/>
  <c r="C66" i="16" s="1"/>
  <c r="C70" i="16" s="1"/>
  <c r="C74" i="16" s="1"/>
  <c r="C78" i="16" s="1"/>
  <c r="C82" i="16" s="1"/>
  <c r="C86" i="16" s="1"/>
  <c r="C90" i="16" s="1"/>
  <c r="C94" i="16" s="1"/>
  <c r="C98" i="16" s="1"/>
  <c r="C102" i="16" s="1"/>
  <c r="C106" i="16" s="1"/>
  <c r="C110" i="16" s="1"/>
  <c r="C114" i="16" s="1"/>
  <c r="C118" i="16" s="1"/>
  <c r="C122" i="16" s="1"/>
  <c r="C126" i="16" s="1"/>
  <c r="C130" i="16" s="1"/>
  <c r="C134" i="16" s="1"/>
  <c r="C138" i="16" s="1"/>
  <c r="C142" i="16" s="1"/>
  <c r="C146" i="16" s="1"/>
  <c r="C150" i="16" s="1"/>
  <c r="C154" i="16" s="1"/>
  <c r="C158" i="16" s="1"/>
  <c r="C162" i="16" s="1"/>
  <c r="C166" i="16" s="1"/>
  <c r="C170" i="16" s="1"/>
  <c r="C174" i="16" s="1"/>
  <c r="C178" i="16" s="1"/>
  <c r="C182" i="16" s="1"/>
  <c r="C186" i="16" s="1"/>
  <c r="C190" i="16" s="1"/>
  <c r="C194" i="16" s="1"/>
  <c r="C198" i="16" s="1"/>
  <c r="C202" i="16" s="1"/>
  <c r="C206" i="16" s="1"/>
  <c r="C210" i="16" s="1"/>
  <c r="C214" i="16" s="1"/>
  <c r="C218" i="16" s="1"/>
  <c r="C222" i="16" s="1"/>
  <c r="C226" i="16" s="1"/>
  <c r="C230" i="16" s="1"/>
  <c r="C234" i="16" s="1"/>
  <c r="C238" i="16" s="1"/>
  <c r="C242" i="16" s="1"/>
  <c r="C15" i="16"/>
  <c r="C19" i="16" s="1"/>
  <c r="C23" i="16" s="1"/>
  <c r="C27" i="16" s="1"/>
  <c r="C31" i="16" s="1"/>
  <c r="C35" i="16" s="1"/>
  <c r="C39" i="16" s="1"/>
  <c r="C43" i="16" s="1"/>
  <c r="C47" i="16" s="1"/>
  <c r="C51" i="16" s="1"/>
  <c r="C55" i="16" s="1"/>
  <c r="C59" i="16" s="1"/>
  <c r="C63" i="16" s="1"/>
  <c r="C67" i="16" s="1"/>
  <c r="C71" i="16" s="1"/>
  <c r="C75" i="16" s="1"/>
  <c r="C79" i="16" s="1"/>
  <c r="C83" i="16" s="1"/>
  <c r="C87" i="16" s="1"/>
  <c r="C91" i="16" s="1"/>
  <c r="C95" i="16" s="1"/>
  <c r="C99" i="16" s="1"/>
  <c r="C103" i="16" s="1"/>
  <c r="C107" i="16" s="1"/>
  <c r="C111" i="16" s="1"/>
  <c r="C115" i="16" s="1"/>
  <c r="C119" i="16" s="1"/>
  <c r="C123" i="16" s="1"/>
  <c r="C127" i="16" s="1"/>
  <c r="C131" i="16" s="1"/>
  <c r="C135" i="16" s="1"/>
  <c r="C139" i="16" s="1"/>
  <c r="C143" i="16" s="1"/>
  <c r="C147" i="16" s="1"/>
  <c r="C151" i="16" s="1"/>
  <c r="C155" i="16" s="1"/>
  <c r="C159" i="16" s="1"/>
  <c r="C163" i="16" s="1"/>
  <c r="C167" i="16" s="1"/>
  <c r="C171" i="16" s="1"/>
  <c r="C175" i="16" s="1"/>
  <c r="C179" i="16" s="1"/>
  <c r="C183" i="16" s="1"/>
  <c r="C187" i="16" s="1"/>
  <c r="C191" i="16" s="1"/>
  <c r="C195" i="16" s="1"/>
  <c r="C199" i="16" s="1"/>
  <c r="C203" i="16" s="1"/>
  <c r="C207" i="16" s="1"/>
  <c r="C211" i="16" s="1"/>
  <c r="C215" i="16" s="1"/>
  <c r="C219" i="16" s="1"/>
  <c r="C223" i="16" s="1"/>
  <c r="C227" i="16" s="1"/>
  <c r="C231" i="16" s="1"/>
  <c r="C235" i="16" s="1"/>
  <c r="C239" i="16" s="1"/>
  <c r="C243" i="16" s="1"/>
  <c r="C14" i="16"/>
  <c r="C13" i="16"/>
  <c r="C17" i="16" s="1"/>
  <c r="C21" i="16" s="1"/>
  <c r="C12" i="16"/>
  <c r="C16" i="16" s="1"/>
  <c r="C20" i="16" s="1"/>
  <c r="C24" i="16" s="1"/>
  <c r="C28" i="16" s="1"/>
  <c r="C32" i="16" s="1"/>
  <c r="C36" i="16" s="1"/>
  <c r="C40" i="16" s="1"/>
  <c r="C44" i="16" s="1"/>
  <c r="C48" i="16" s="1"/>
  <c r="C52" i="16" s="1"/>
  <c r="C56" i="16" s="1"/>
  <c r="C60" i="16" s="1"/>
  <c r="C64" i="16" s="1"/>
  <c r="C68" i="16" s="1"/>
  <c r="C72" i="16" s="1"/>
  <c r="C76" i="16" s="1"/>
  <c r="C80" i="16" s="1"/>
  <c r="C84" i="16" s="1"/>
  <c r="C88" i="16" s="1"/>
  <c r="C92" i="16" s="1"/>
  <c r="C96" i="16" s="1"/>
  <c r="C100" i="16" s="1"/>
  <c r="C104" i="16" s="1"/>
  <c r="C108" i="16" s="1"/>
  <c r="C112" i="16" s="1"/>
  <c r="C116" i="16" s="1"/>
  <c r="C120" i="16" s="1"/>
  <c r="C124" i="16" s="1"/>
  <c r="C128" i="16" s="1"/>
  <c r="C132" i="16" s="1"/>
  <c r="C136" i="16" s="1"/>
  <c r="C140" i="16" s="1"/>
  <c r="C144" i="16" s="1"/>
  <c r="C148" i="16" s="1"/>
  <c r="C152" i="16" s="1"/>
  <c r="C156" i="16" s="1"/>
  <c r="C160" i="16" s="1"/>
  <c r="C164" i="16" s="1"/>
  <c r="C168" i="16" s="1"/>
  <c r="C172" i="16" s="1"/>
  <c r="C176" i="16" s="1"/>
  <c r="C180" i="16" s="1"/>
  <c r="C184" i="16" s="1"/>
  <c r="C188" i="16" s="1"/>
  <c r="C192" i="16" s="1"/>
  <c r="C196" i="16" s="1"/>
  <c r="C200" i="16" s="1"/>
  <c r="C204" i="16" s="1"/>
  <c r="C208" i="16" s="1"/>
  <c r="C212" i="16" s="1"/>
  <c r="C216" i="16" s="1"/>
  <c r="C220" i="16" s="1"/>
  <c r="C224" i="16" s="1"/>
  <c r="C228" i="16" s="1"/>
  <c r="C232" i="16" s="1"/>
  <c r="C236" i="16" s="1"/>
  <c r="C240" i="16" s="1"/>
  <c r="C244" i="16" s="1"/>
  <c r="C11" i="16"/>
  <c r="O198" i="19" l="1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AC4" i="11"/>
  <c r="O201" i="19" l="1"/>
  <c r="D202" i="19" s="1"/>
  <c r="D203" i="19" s="1"/>
  <c r="P4" i="11"/>
  <c r="G202" i="19" l="1"/>
  <c r="F202" i="19"/>
  <c r="M202" i="19"/>
  <c r="L202" i="19"/>
  <c r="L203" i="19" s="1"/>
  <c r="C202" i="19"/>
  <c r="C203" i="19" s="1"/>
  <c r="J202" i="19"/>
  <c r="J203" i="19" s="1"/>
  <c r="E202" i="19"/>
  <c r="E203" i="19" s="1"/>
  <c r="B202" i="19"/>
  <c r="O202" i="19" s="1"/>
  <c r="K202" i="19"/>
  <c r="K203" i="19" s="1"/>
  <c r="I202" i="19"/>
  <c r="H202" i="19"/>
  <c r="H203" i="19" s="1"/>
  <c r="G203" i="19"/>
  <c r="M203" i="19"/>
  <c r="I203" i="19"/>
  <c r="F203" i="19"/>
  <c r="B203" i="19" l="1"/>
  <c r="O203" i="19" s="1"/>
</calcChain>
</file>

<file path=xl/sharedStrings.xml><?xml version="1.0" encoding="utf-8"?>
<sst xmlns="http://schemas.openxmlformats.org/spreadsheetml/2006/main" count="310" uniqueCount="58">
  <si>
    <t>CPI students</t>
  </si>
  <si>
    <t>Internet</t>
  </si>
  <si>
    <t>Année</t>
  </si>
  <si>
    <t>Alcohol + Tabac + alcohol</t>
  </si>
  <si>
    <t>Manuel scolaire</t>
  </si>
  <si>
    <t xml:space="preserve">Droits scolarité </t>
  </si>
  <si>
    <t>Loisir + education + lecture</t>
  </si>
  <si>
    <t>Santé + soin personnel</t>
  </si>
  <si>
    <t>Transport</t>
  </si>
  <si>
    <t>Vetements + chaussures</t>
  </si>
  <si>
    <t>Operation maison</t>
  </si>
  <si>
    <t>Logement</t>
  </si>
  <si>
    <t>Resto</t>
  </si>
  <si>
    <t>Aliments en magasin</t>
  </si>
  <si>
    <t>Coefficients de pondération</t>
  </si>
  <si>
    <t>IPC officiel (2002 = 100)</t>
  </si>
  <si>
    <t>IPC Ensemle 2002 = 100</t>
  </si>
  <si>
    <t>IPC Ensemble 2002 = 100</t>
  </si>
  <si>
    <t>Variation en %</t>
  </si>
  <si>
    <t>Salaire minimum</t>
  </si>
  <si>
    <t>IPC Ensemble Canada 2002 = 100</t>
  </si>
  <si>
    <t>Taux d'épargne</t>
  </si>
  <si>
    <t>Trimestre</t>
  </si>
  <si>
    <t>T1</t>
  </si>
  <si>
    <t>T2</t>
  </si>
  <si>
    <t>T3</t>
  </si>
  <si>
    <t>T4</t>
  </si>
  <si>
    <t>IPC Ensenble Canada (2002 = 100)</t>
  </si>
  <si>
    <t>Population trimestrielle</t>
  </si>
  <si>
    <t>Variations en %</t>
  </si>
  <si>
    <t>Revenu disponible par habitant</t>
  </si>
  <si>
    <t>IPC Canada 2020 = 100</t>
  </si>
  <si>
    <t>Salaire minimum réel en dollars de 2020</t>
  </si>
  <si>
    <t>Revenu disponible</t>
  </si>
  <si>
    <t>Santé + soins personnels</t>
  </si>
  <si>
    <t>Loisir + formation + lecture</t>
  </si>
  <si>
    <t>Manuels scolaires</t>
  </si>
  <si>
    <t>Alcohol + Tabac + cannabis</t>
  </si>
  <si>
    <t>Année de référence 2020</t>
  </si>
  <si>
    <t>Tableau 18-10-0007-01 </t>
  </si>
  <si>
    <t>Aliments achetés en magasin</t>
  </si>
  <si>
    <t>Repas au restaurant</t>
  </si>
  <si>
    <t>Equipement pour maison</t>
  </si>
  <si>
    <t>Loisir</t>
  </si>
  <si>
    <t>Scolarité</t>
  </si>
  <si>
    <t>alcohol+ tabac + canabis</t>
  </si>
  <si>
    <t>Santé</t>
  </si>
  <si>
    <t>Vetements et chaussures</t>
  </si>
  <si>
    <t>total</t>
  </si>
  <si>
    <t>%</t>
  </si>
  <si>
    <t>TOTAL</t>
  </si>
  <si>
    <t>Manuels</t>
  </si>
  <si>
    <t>Taux de croissance en % de 2002 à 2021</t>
  </si>
  <si>
    <t>http://hdr.undp.org/en/data</t>
  </si>
  <si>
    <t>IDH</t>
  </si>
  <si>
    <t>Revenu national brut en $ constants PPA 2017  /  Gross national income (GNI) per capita (constant 2017 PPP$)</t>
  </si>
  <si>
    <t>IPC Ensenble Canada (T4 2021 = 100)</t>
  </si>
  <si>
    <t>Revenu disponiblke  par habitant reel (Période de base T4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</si>
</sst>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)_ ;_ * \(#,##0.00\)_ ;_ * &quot;-&quot;??_)_ ;_ @_ "/>
    <numFmt numFmtId="164" formatCode="&quot;$&quot;#,##0.00_);[Red]\(&quot;$&quot;#,##0.00\)"/>
    <numFmt numFmtId="165" formatCode="_(* #,##0.00_);_(* \(#,##0.00\);_(* &quot;-&quot;??_);_(@_)"/>
    <numFmt numFmtId="166" formatCode="0.0"/>
    <numFmt numFmtId="167" formatCode="0.000"/>
    <numFmt numFmtId="168" formatCode="&quot;$&quot;#,##0.00;[Red]\-&quot;$&quot;#,##0.00"/>
    <numFmt numFmtId="169" formatCode="#,##0.0_);[Red]\(#,##0.0\)"/>
    <numFmt numFmtId="170" formatCode="0.0000"/>
    <numFmt numFmtId="171" formatCode="0.0%"/>
    <numFmt numFmtId="172" formatCode="_(* #,##0_);_(* \(#,##0\);_(* &quot;-&quot;??_);_(@_)"/>
  </numFmts>
  <fonts count="3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8"/>
      <color theme="1"/>
      <name val="Palatino Linotype"/>
      <family val="1"/>
    </font>
    <font>
      <sz val="11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0"/>
      <color rgb="FF000000"/>
      <name val="Helvetica Neue"/>
      <family val="2"/>
    </font>
    <font>
      <sz val="16"/>
      <color theme="1"/>
      <name val="Courier"/>
      <family val="1"/>
    </font>
    <font>
      <sz val="16"/>
      <color rgb="FF505050"/>
      <name val="Courier"/>
      <family val="1"/>
    </font>
    <font>
      <sz val="11"/>
      <color rgb="FF333333"/>
      <name val="Arial"/>
      <family val="2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AEAE8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48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9" fontId="2" fillId="0" borderId="0" applyFont="0" applyFill="0" applyBorder="0" applyAlignment="0" applyProtection="0"/>
    <xf numFmtId="0" fontId="23" fillId="0" borderId="0"/>
    <xf numFmtId="165" fontId="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/>
    <xf numFmtId="0" fontId="19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horizontal="center" vertical="top" wrapText="1"/>
    </xf>
    <xf numFmtId="2" fontId="19" fillId="0" borderId="0" xfId="0" applyNumberFormat="1" applyFont="1"/>
    <xf numFmtId="0" fontId="19" fillId="0" borderId="0" xfId="0" applyFont="1" applyAlignment="1">
      <alignment horizontal="center"/>
    </xf>
    <xf numFmtId="17" fontId="19" fillId="0" borderId="0" xfId="0" applyNumberFormat="1" applyFont="1"/>
    <xf numFmtId="166" fontId="19" fillId="0" borderId="0" xfId="0" applyNumberFormat="1" applyFont="1"/>
    <xf numFmtId="166" fontId="19" fillId="0" borderId="0" xfId="0" applyNumberFormat="1" applyFont="1" applyAlignment="1">
      <alignment horizontal="center"/>
    </xf>
    <xf numFmtId="0" fontId="21" fillId="0" borderId="0" xfId="0" applyFont="1" applyAlignment="1">
      <alignment horizontal="left" vertical="center" indent="6"/>
    </xf>
    <xf numFmtId="1" fontId="22" fillId="0" borderId="0" xfId="0" applyNumberFormat="1" applyFont="1" applyAlignment="1">
      <alignment horizontal="center" wrapText="1"/>
    </xf>
    <xf numFmtId="0" fontId="19" fillId="34" borderId="0" xfId="0" applyFont="1" applyFill="1" applyAlignment="1">
      <alignment horizontal="center" vertical="top" wrapText="1"/>
    </xf>
    <xf numFmtId="0" fontId="19" fillId="34" borderId="10" xfId="0" applyFont="1" applyFill="1" applyBorder="1"/>
    <xf numFmtId="0" fontId="19" fillId="34" borderId="0" xfId="0" applyFont="1" applyFill="1" applyAlignment="1">
      <alignment horizontal="center" vertical="top"/>
    </xf>
    <xf numFmtId="0" fontId="23" fillId="0" borderId="0" xfId="43"/>
    <xf numFmtId="168" fontId="23" fillId="0" borderId="0" xfId="43" applyNumberFormat="1"/>
    <xf numFmtId="15" fontId="23" fillId="0" borderId="0" xfId="43" applyNumberFormat="1"/>
    <xf numFmtId="164" fontId="23" fillId="0" borderId="0" xfId="43" applyNumberFormat="1"/>
    <xf numFmtId="169" fontId="23" fillId="0" borderId="0" xfId="43" applyNumberFormat="1"/>
    <xf numFmtId="9" fontId="23" fillId="0" borderId="0" xfId="42" applyFont="1"/>
    <xf numFmtId="170" fontId="19" fillId="0" borderId="0" xfId="0" applyNumberFormat="1" applyFont="1"/>
    <xf numFmtId="0" fontId="19" fillId="35" borderId="0" xfId="0" applyFont="1" applyFill="1"/>
    <xf numFmtId="167" fontId="19" fillId="35" borderId="0" xfId="0" applyNumberFormat="1" applyFont="1" applyFill="1"/>
    <xf numFmtId="2" fontId="19" fillId="35" borderId="0" xfId="0" applyNumberFormat="1" applyFont="1" applyFill="1"/>
    <xf numFmtId="167" fontId="24" fillId="36" borderId="0" xfId="0" applyNumberFormat="1" applyFont="1" applyFill="1"/>
    <xf numFmtId="9" fontId="24" fillId="36" borderId="0" xfId="42" applyFont="1" applyFill="1" applyAlignment="1">
      <alignment horizontal="center"/>
    </xf>
    <xf numFmtId="0" fontId="24" fillId="36" borderId="0" xfId="0" applyFont="1" applyFill="1" applyAlignment="1">
      <alignment horizontal="center"/>
    </xf>
    <xf numFmtId="0" fontId="24" fillId="36" borderId="0" xfId="0" applyFont="1" applyFill="1"/>
    <xf numFmtId="166" fontId="24" fillId="36" borderId="0" xfId="0" applyNumberFormat="1" applyFont="1" applyFill="1" applyAlignment="1">
      <alignment horizontal="center"/>
    </xf>
    <xf numFmtId="9" fontId="24" fillId="36" borderId="0" xfId="0" applyNumberFormat="1" applyFont="1" applyFill="1" applyAlignment="1">
      <alignment horizontal="center"/>
    </xf>
    <xf numFmtId="2" fontId="24" fillId="36" borderId="0" xfId="0" applyNumberFormat="1" applyFont="1" applyFill="1"/>
    <xf numFmtId="0" fontId="23" fillId="0" borderId="10" xfId="43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3" fontId="0" fillId="0" borderId="0" xfId="0" applyNumberFormat="1"/>
    <xf numFmtId="166" fontId="0" fillId="0" borderId="0" xfId="0" applyNumberFormat="1"/>
    <xf numFmtId="4" fontId="0" fillId="0" borderId="0" xfId="0" applyNumberFormat="1"/>
    <xf numFmtId="9" fontId="0" fillId="0" borderId="0" xfId="42" applyFont="1"/>
    <xf numFmtId="0" fontId="0" fillId="0" borderId="0" xfId="0" applyAlignment="1">
      <alignment horizontal="center" wrapText="1"/>
    </xf>
    <xf numFmtId="171" fontId="0" fillId="0" borderId="0" xfId="42" applyNumberFormat="1" applyFont="1"/>
    <xf numFmtId="166" fontId="25" fillId="0" borderId="0" xfId="0" applyNumberFormat="1" applyFont="1"/>
    <xf numFmtId="0" fontId="26" fillId="35" borderId="0" xfId="0" applyFont="1" applyFill="1"/>
    <xf numFmtId="0" fontId="26" fillId="0" borderId="0" xfId="0" applyFont="1"/>
    <xf numFmtId="0" fontId="27" fillId="0" borderId="0" xfId="0" applyFont="1"/>
    <xf numFmtId="2" fontId="19" fillId="0" borderId="0" xfId="0" applyNumberFormat="1" applyFont="1" applyFill="1"/>
    <xf numFmtId="0" fontId="19" fillId="0" borderId="0" xfId="0" applyFont="1" applyFill="1"/>
    <xf numFmtId="0" fontId="19" fillId="0" borderId="0" xfId="0" applyFont="1" applyFill="1" applyAlignment="1">
      <alignment horizontal="center"/>
    </xf>
    <xf numFmtId="166" fontId="19" fillId="0" borderId="0" xfId="0" applyNumberFormat="1" applyFont="1" applyFill="1" applyAlignment="1">
      <alignment horizontal="center"/>
    </xf>
    <xf numFmtId="167" fontId="19" fillId="34" borderId="0" xfId="0" applyNumberFormat="1" applyFont="1" applyFill="1" applyAlignment="1">
      <alignment horizontal="center" vertical="top" wrapText="1"/>
    </xf>
    <xf numFmtId="0" fontId="28" fillId="38" borderId="11" xfId="0" applyFont="1" applyFill="1" applyBorder="1" applyAlignment="1">
      <alignment vertical="top" wrapText="1"/>
    </xf>
    <xf numFmtId="170" fontId="0" fillId="0" borderId="0" xfId="0" applyNumberFormat="1"/>
    <xf numFmtId="1" fontId="0" fillId="0" borderId="0" xfId="0" applyNumberFormat="1"/>
    <xf numFmtId="172" fontId="0" fillId="0" borderId="0" xfId="44" applyNumberFormat="1" applyFont="1"/>
    <xf numFmtId="165" fontId="0" fillId="0" borderId="0" xfId="44" applyFont="1"/>
    <xf numFmtId="0" fontId="29" fillId="0" borderId="0" xfId="45"/>
    <xf numFmtId="0" fontId="0" fillId="0" borderId="0" xfId="0" applyAlignment="1">
      <alignment horizontal="center" vertical="center"/>
    </xf>
    <xf numFmtId="0" fontId="30" fillId="0" borderId="0" xfId="0" applyFont="1"/>
    <xf numFmtId="166" fontId="19" fillId="33" borderId="0" xfId="0" applyNumberFormat="1" applyFont="1" applyFill="1" applyAlignment="1">
      <alignment horizontal="center"/>
    </xf>
    <xf numFmtId="10" fontId="19" fillId="37" borderId="0" xfId="42" applyNumberFormat="1" applyFont="1" applyFill="1" applyAlignment="1">
      <alignment horizontal="center"/>
    </xf>
    <xf numFmtId="10" fontId="23" fillId="0" borderId="0" xfId="42" applyNumberFormat="1" applyFont="1"/>
    <xf numFmtId="0" fontId="22" fillId="0" borderId="0" xfId="42" applyNumberFormat="1" applyFont="1" applyAlignment="1">
      <alignment horizontal="center" wrapText="1"/>
    </xf>
    <xf numFmtId="0" fontId="0" fillId="0" borderId="0" xfId="0"/>
    <xf numFmtId="0" fontId="0" fillId="0" borderId="0" xfId="0" applyAlignment="1">
      <alignment horizontal="center"/>
    </xf>
    <xf numFmtId="166" fontId="19" fillId="0" borderId="0" xfId="0" applyNumberFormat="1" applyFont="1"/>
    <xf numFmtId="3" fontId="0" fillId="0" borderId="0" xfId="0" applyNumberFormat="1"/>
    <xf numFmtId="166" fontId="25" fillId="0" borderId="0" xfId="0" applyNumberFormat="1" applyFont="1"/>
    <xf numFmtId="0" fontId="20" fillId="0" borderId="1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34" borderId="10" xfId="0" applyFont="1" applyFill="1" applyBorder="1" applyAlignment="1">
      <alignment horizontal="center"/>
    </xf>
  </cellXfs>
  <cellStyles count="48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5" builtinId="8"/>
    <cellStyle name="Milliers" xfId="44" builtinId="3"/>
    <cellStyle name="Milliers 2" xfId="47" xr:uid="{178EFC16-7741-4383-9FAD-68120AA0F095}"/>
    <cellStyle name="Neutre" xfId="8" builtinId="28" customBuiltin="1"/>
    <cellStyle name="Normal" xfId="0" builtinId="0"/>
    <cellStyle name="Normal 2" xfId="43" xr:uid="{7565E102-41BC-9F40-A235-3C3DAC789A74}"/>
    <cellStyle name="Normal 2 2" xfId="46" xr:uid="{41885BBE-B012-40A9-B02E-9A4BD49CB87D}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styles" Target="styles.xml"/><Relationship Id="rId5" Type="http://schemas.openxmlformats.org/officeDocument/2006/relationships/worksheet" Target="worksheets/sheet3.xml"/><Relationship Id="rId10" Type="http://schemas.openxmlformats.org/officeDocument/2006/relationships/theme" Target="theme/theme1.xml"/><Relationship Id="rId4" Type="http://schemas.openxmlformats.org/officeDocument/2006/relationships/chartsheet" Target="chartsheets/sheet2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GRAPHIQUE</a:t>
            </a:r>
            <a:r>
              <a:rPr lang="fr-CA" baseline="0"/>
              <a:t> CHRONOLOGIQUE DEES DISPARITÉS ENTRE L'IPC OFFICIELS ET l'IPC DES ÉTUDIANTS</a:t>
            </a:r>
            <a:endParaRPr lang="fr-CA"/>
          </a:p>
        </c:rich>
      </c:tx>
      <c:layout>
        <c:manualLayout>
          <c:xMode val="edge"/>
          <c:yMode val="edge"/>
          <c:x val="0.1508394563547154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814741907261592E-2"/>
          <c:y val="7.407407407407407E-2"/>
          <c:w val="0.89019685039370078"/>
          <c:h val="0.79685914260717405"/>
        </c:manualLayout>
      </c:layout>
      <c:lineChart>
        <c:grouping val="standard"/>
        <c:varyColors val="0"/>
        <c:ser>
          <c:idx val="2"/>
          <c:order val="0"/>
          <c:tx>
            <c:v>IPC des étudiants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IPC!$AD$7:$AD$26</c:f>
              <c:numCache>
                <c:formatCode>General</c:formatCod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numCache>
            </c:numRef>
          </c:cat>
          <c:val>
            <c:numRef>
              <c:f>IPC!$AC$7:$AC$26</c:f>
              <c:numCache>
                <c:formatCode>0.0</c:formatCode>
                <c:ptCount val="20"/>
                <c:pt idx="0">
                  <c:v>98.250000000000014</c:v>
                </c:pt>
                <c:pt idx="1">
                  <c:v>101.72443000000001</c:v>
                </c:pt>
                <c:pt idx="2">
                  <c:v>105.44769000000001</c:v>
                </c:pt>
                <c:pt idx="3">
                  <c:v>108.23004</c:v>
                </c:pt>
                <c:pt idx="4">
                  <c:v>110.53773</c:v>
                </c:pt>
                <c:pt idx="5">
                  <c:v>113.37776000000001</c:v>
                </c:pt>
                <c:pt idx="6">
                  <c:v>116.76248</c:v>
                </c:pt>
                <c:pt idx="7">
                  <c:v>119.49996000000002</c:v>
                </c:pt>
                <c:pt idx="8">
                  <c:v>122.49677</c:v>
                </c:pt>
                <c:pt idx="9">
                  <c:v>126.38727</c:v>
                </c:pt>
                <c:pt idx="10">
                  <c:v>129.64409000000001</c:v>
                </c:pt>
                <c:pt idx="11">
                  <c:v>132.33914999999999</c:v>
                </c:pt>
                <c:pt idx="12">
                  <c:v>135.79416999999998</c:v>
                </c:pt>
                <c:pt idx="13">
                  <c:v>138.98600000000002</c:v>
                </c:pt>
                <c:pt idx="14">
                  <c:v>141.81796000000003</c:v>
                </c:pt>
                <c:pt idx="15">
                  <c:v>144.46865000000003</c:v>
                </c:pt>
                <c:pt idx="16">
                  <c:v>147.94051999999999</c:v>
                </c:pt>
                <c:pt idx="17">
                  <c:v>150.33037999999999</c:v>
                </c:pt>
                <c:pt idx="18">
                  <c:v>150.19528</c:v>
                </c:pt>
                <c:pt idx="19">
                  <c:v>153.96541000000002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5-4AAB-8D87-9E74D2CA7DB3}"/>
            </c:ext>
          </c:extLst>
        </c:ser>
        <c:ser>
          <c:idx val="1"/>
          <c:order val="1"/>
          <c:tx>
            <c:v>IPC d'ensemble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IPC!$AD$7:$AD$26</c:f>
              <c:numCache>
                <c:formatCode>General</c:formatCod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numCache>
            </c:numRef>
          </c:cat>
          <c:val>
            <c:numRef>
              <c:f>IPC!$P$7:$P$26</c:f>
              <c:numCache>
                <c:formatCode>0.0</c:formatCode>
                <c:ptCount val="20"/>
                <c:pt idx="0">
                  <c:v>100</c:v>
                </c:pt>
                <c:pt idx="1">
                  <c:v>102.8</c:v>
                </c:pt>
                <c:pt idx="2">
                  <c:v>104.7</c:v>
                </c:pt>
                <c:pt idx="3">
                  <c:v>107</c:v>
                </c:pt>
                <c:pt idx="4">
                  <c:v>109.1</c:v>
                </c:pt>
                <c:pt idx="5">
                  <c:v>111.5</c:v>
                </c:pt>
                <c:pt idx="6">
                  <c:v>114.1</c:v>
                </c:pt>
                <c:pt idx="7">
                  <c:v>114.4</c:v>
                </c:pt>
                <c:pt idx="8">
                  <c:v>116.5</c:v>
                </c:pt>
                <c:pt idx="9">
                  <c:v>119.9</c:v>
                </c:pt>
                <c:pt idx="10">
                  <c:v>121.7</c:v>
                </c:pt>
                <c:pt idx="11">
                  <c:v>122.8</c:v>
                </c:pt>
                <c:pt idx="12">
                  <c:v>125.2</c:v>
                </c:pt>
                <c:pt idx="13">
                  <c:v>126.6</c:v>
                </c:pt>
                <c:pt idx="14">
                  <c:v>128.4</c:v>
                </c:pt>
                <c:pt idx="15">
                  <c:v>130.4</c:v>
                </c:pt>
                <c:pt idx="16">
                  <c:v>133.4</c:v>
                </c:pt>
                <c:pt idx="17">
                  <c:v>136</c:v>
                </c:pt>
                <c:pt idx="18">
                  <c:v>137</c:v>
                </c:pt>
                <c:pt idx="19">
                  <c:v>141.6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65-4AAB-8D87-9E74D2CA7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195119"/>
        <c:axId val="273195535"/>
      </c:lineChart>
      <c:catAx>
        <c:axId val="273195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ANNÉES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3195535"/>
        <c:crosses val="autoZero"/>
        <c:auto val="1"/>
        <c:lblAlgn val="ctr"/>
        <c:lblOffset val="100"/>
        <c:noMultiLvlLbl val="0"/>
      </c:catAx>
      <c:valAx>
        <c:axId val="273195535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Indice</a:t>
                </a:r>
                <a:r>
                  <a:rPr lang="fr-CA" baseline="0"/>
                  <a:t> des Prix à la Consommation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>
            <a:glow rad="139700">
              <a:schemeClr val="accent1">
                <a:satMod val="175000"/>
              </a:schemeClr>
            </a:glow>
          </a:effectLst>
        </c:spPr>
        <c:txPr>
          <a:bodyPr rot="-108000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319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GRAPHE</a:t>
            </a:r>
            <a:r>
              <a:rPr lang="fr-CA" baseline="0"/>
              <a:t> CHRONOLOGIQUE MONTRANT L'ÉVOLUTION DU SALAIRE MINIMUM AJUSTÉ EN FONTION DE L'INFLATION RÉEL DE 1965 À 2021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Salaire minimum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'salaire minimum'!$F$5:$F$61</c:f>
              <c:numCache>
                <c:formatCode>General</c:formatCode>
                <c:ptCount val="57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</c:numCache>
            </c:numRef>
          </c:cat>
          <c:val>
            <c:numRef>
              <c:f>'salaire minimum'!$G$5:$G$61</c:f>
              <c:numCache>
                <c:formatCode>"$"#\ ##0.00;[Red]\-"$"#\ ##0.00</c:formatCode>
                <c:ptCount val="5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1.3</c:v>
                </c:pt>
                <c:pt idx="5">
                  <c:v>1.5</c:v>
                </c:pt>
                <c:pt idx="6">
                  <c:v>1.65</c:v>
                </c:pt>
                <c:pt idx="7">
                  <c:v>1.65</c:v>
                </c:pt>
                <c:pt idx="8">
                  <c:v>1.8</c:v>
                </c:pt>
                <c:pt idx="9">
                  <c:v>2.15</c:v>
                </c:pt>
                <c:pt idx="10">
                  <c:v>2.4</c:v>
                </c:pt>
                <c:pt idx="11">
                  <c:v>2.65</c:v>
                </c:pt>
                <c:pt idx="12">
                  <c:v>2.65</c:v>
                </c:pt>
                <c:pt idx="13">
                  <c:v>2.85</c:v>
                </c:pt>
                <c:pt idx="14">
                  <c:v>3</c:v>
                </c:pt>
                <c:pt idx="15">
                  <c:v>3</c:v>
                </c:pt>
                <c:pt idx="16">
                  <c:v>3.15</c:v>
                </c:pt>
                <c:pt idx="17">
                  <c:v>3.15</c:v>
                </c:pt>
                <c:pt idx="18">
                  <c:v>3.15</c:v>
                </c:pt>
                <c:pt idx="19">
                  <c:v>3.85</c:v>
                </c:pt>
                <c:pt idx="20">
                  <c:v>4</c:v>
                </c:pt>
                <c:pt idx="21">
                  <c:v>4.3499999999999996</c:v>
                </c:pt>
                <c:pt idx="22">
                  <c:v>4.55</c:v>
                </c:pt>
                <c:pt idx="23">
                  <c:v>4.75</c:v>
                </c:pt>
                <c:pt idx="24">
                  <c:v>5</c:v>
                </c:pt>
                <c:pt idx="25">
                  <c:v>5.4</c:v>
                </c:pt>
                <c:pt idx="26">
                  <c:v>6</c:v>
                </c:pt>
                <c:pt idx="27">
                  <c:v>6.35</c:v>
                </c:pt>
                <c:pt idx="28">
                  <c:v>6.35</c:v>
                </c:pt>
                <c:pt idx="29">
                  <c:v>6.7</c:v>
                </c:pt>
                <c:pt idx="30">
                  <c:v>6.85</c:v>
                </c:pt>
                <c:pt idx="31">
                  <c:v>6.85</c:v>
                </c:pt>
                <c:pt idx="32">
                  <c:v>6.85</c:v>
                </c:pt>
                <c:pt idx="33">
                  <c:v>6.85</c:v>
                </c:pt>
                <c:pt idx="34">
                  <c:v>6.85</c:v>
                </c:pt>
                <c:pt idx="35">
                  <c:v>6.85</c:v>
                </c:pt>
                <c:pt idx="36">
                  <c:v>6.85</c:v>
                </c:pt>
                <c:pt idx="37">
                  <c:v>6.85</c:v>
                </c:pt>
                <c:pt idx="38">
                  <c:v>6.85</c:v>
                </c:pt>
                <c:pt idx="39">
                  <c:v>7.15</c:v>
                </c:pt>
                <c:pt idx="40">
                  <c:v>7.45</c:v>
                </c:pt>
                <c:pt idx="41">
                  <c:v>7.75</c:v>
                </c:pt>
                <c:pt idx="42">
                  <c:v>8</c:v>
                </c:pt>
                <c:pt idx="43">
                  <c:v>8.75</c:v>
                </c:pt>
                <c:pt idx="44">
                  <c:v>9.5</c:v>
                </c:pt>
                <c:pt idx="45">
                  <c:v>10.25</c:v>
                </c:pt>
                <c:pt idx="46">
                  <c:v>10.25</c:v>
                </c:pt>
                <c:pt idx="47">
                  <c:v>10.25</c:v>
                </c:pt>
                <c:pt idx="48">
                  <c:v>10.25</c:v>
                </c:pt>
                <c:pt idx="49">
                  <c:v>11</c:v>
                </c:pt>
                <c:pt idx="50">
                  <c:v>11.25</c:v>
                </c:pt>
                <c:pt idx="51">
                  <c:v>11.4</c:v>
                </c:pt>
                <c:pt idx="52">
                  <c:v>11.6</c:v>
                </c:pt>
                <c:pt idx="53">
                  <c:v>14</c:v>
                </c:pt>
                <c:pt idx="54">
                  <c:v>14</c:v>
                </c:pt>
                <c:pt idx="55">
                  <c:v>14.25</c:v>
                </c:pt>
                <c:pt idx="56">
                  <c:v>14.35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C-4250-8FFB-7E7B0037537B}"/>
            </c:ext>
          </c:extLst>
        </c:ser>
        <c:ser>
          <c:idx val="1"/>
          <c:order val="1"/>
          <c:tx>
            <c:v>Salaire ajusté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'salaire minimum'!$F$5:$F$61</c:f>
              <c:numCache>
                <c:formatCode>General</c:formatCode>
                <c:ptCount val="57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</c:numCache>
            </c:numRef>
          </c:cat>
          <c:val>
            <c:numRef>
              <c:f>'salaire minimum'!$J$5:$J$61</c:f>
              <c:numCache>
                <c:formatCode>"$"#\ ##0.00_);[Red]\("$"#\ ##0.00\)</c:formatCode>
                <c:ptCount val="57"/>
                <c:pt idx="0">
                  <c:v>0.48070175438596485</c:v>
                </c:pt>
                <c:pt idx="1">
                  <c:v>0.48070175438596485</c:v>
                </c:pt>
                <c:pt idx="2">
                  <c:v>0.48070175438596485</c:v>
                </c:pt>
                <c:pt idx="3">
                  <c:v>0.48070175438596485</c:v>
                </c:pt>
                <c:pt idx="4">
                  <c:v>0.62491228070175431</c:v>
                </c:pt>
                <c:pt idx="5">
                  <c:v>0.72105263157894717</c:v>
                </c:pt>
                <c:pt idx="6">
                  <c:v>0.79315789473684206</c:v>
                </c:pt>
                <c:pt idx="7">
                  <c:v>0.79315789473684206</c:v>
                </c:pt>
                <c:pt idx="8">
                  <c:v>0.86526315789473673</c:v>
                </c:pt>
                <c:pt idx="9">
                  <c:v>1.0335087719298244</c:v>
                </c:pt>
                <c:pt idx="10">
                  <c:v>1.1536842105263156</c:v>
                </c:pt>
                <c:pt idx="11">
                  <c:v>1.2738596491228067</c:v>
                </c:pt>
                <c:pt idx="12">
                  <c:v>1.2738596491228067</c:v>
                </c:pt>
                <c:pt idx="13">
                  <c:v>1.3699999999999997</c:v>
                </c:pt>
                <c:pt idx="14">
                  <c:v>1.4421052631578943</c:v>
                </c:pt>
                <c:pt idx="15">
                  <c:v>1.4421052631578943</c:v>
                </c:pt>
                <c:pt idx="16">
                  <c:v>1.5142105263157892</c:v>
                </c:pt>
                <c:pt idx="17">
                  <c:v>1.5142105263157892</c:v>
                </c:pt>
                <c:pt idx="18">
                  <c:v>1.5142105263157892</c:v>
                </c:pt>
                <c:pt idx="19">
                  <c:v>1.8507017543859645</c:v>
                </c:pt>
                <c:pt idx="20">
                  <c:v>1.9228070175438594</c:v>
                </c:pt>
                <c:pt idx="21">
                  <c:v>2.0910526315789468</c:v>
                </c:pt>
                <c:pt idx="22">
                  <c:v>2.18719298245614</c:v>
                </c:pt>
                <c:pt idx="23">
                  <c:v>2.2833333333333328</c:v>
                </c:pt>
                <c:pt idx="24">
                  <c:v>2.4035087719298245</c:v>
                </c:pt>
                <c:pt idx="25">
                  <c:v>2.5957894736842104</c:v>
                </c:pt>
                <c:pt idx="26">
                  <c:v>2.8842105263157887</c:v>
                </c:pt>
                <c:pt idx="27">
                  <c:v>3.052456140350877</c:v>
                </c:pt>
                <c:pt idx="28">
                  <c:v>3.052456140350877</c:v>
                </c:pt>
                <c:pt idx="29">
                  <c:v>3.2207017543859648</c:v>
                </c:pt>
                <c:pt idx="30">
                  <c:v>3.2928070175438595</c:v>
                </c:pt>
                <c:pt idx="31">
                  <c:v>3.2928070175438595</c:v>
                </c:pt>
                <c:pt idx="32">
                  <c:v>3.2928070175438595</c:v>
                </c:pt>
                <c:pt idx="33">
                  <c:v>3.2928070175438595</c:v>
                </c:pt>
                <c:pt idx="34">
                  <c:v>3.2928070175438595</c:v>
                </c:pt>
                <c:pt idx="35">
                  <c:v>3.2928070175438595</c:v>
                </c:pt>
                <c:pt idx="36">
                  <c:v>3.2928070175438595</c:v>
                </c:pt>
                <c:pt idx="37">
                  <c:v>3.2928070175438595</c:v>
                </c:pt>
                <c:pt idx="38">
                  <c:v>3.2928070175438595</c:v>
                </c:pt>
                <c:pt idx="39">
                  <c:v>3.4370175438596489</c:v>
                </c:pt>
                <c:pt idx="40">
                  <c:v>3.5812280701754382</c:v>
                </c:pt>
                <c:pt idx="41">
                  <c:v>3.725438596491228</c:v>
                </c:pt>
                <c:pt idx="42">
                  <c:v>3.8456140350877188</c:v>
                </c:pt>
                <c:pt idx="43">
                  <c:v>4.2061403508771926</c:v>
                </c:pt>
                <c:pt idx="44">
                  <c:v>4.5666666666666655</c:v>
                </c:pt>
                <c:pt idx="45">
                  <c:v>4.9271929824561402</c:v>
                </c:pt>
                <c:pt idx="46">
                  <c:v>4.9271929824561402</c:v>
                </c:pt>
                <c:pt idx="47">
                  <c:v>4.9271929824561402</c:v>
                </c:pt>
                <c:pt idx="48">
                  <c:v>4.9271929824561402</c:v>
                </c:pt>
                <c:pt idx="49">
                  <c:v>5.287719298245614</c:v>
                </c:pt>
                <c:pt idx="50">
                  <c:v>5.4078947368421044</c:v>
                </c:pt>
                <c:pt idx="51">
                  <c:v>5.4799999999999986</c:v>
                </c:pt>
                <c:pt idx="52">
                  <c:v>5.5761403508771927</c:v>
                </c:pt>
                <c:pt idx="53">
                  <c:v>6.7298245614035084</c:v>
                </c:pt>
                <c:pt idx="54">
                  <c:v>6.7298245614035084</c:v>
                </c:pt>
                <c:pt idx="55">
                  <c:v>6.8500000000000005</c:v>
                </c:pt>
                <c:pt idx="56">
                  <c:v>6.8980701754385967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5C-4250-8FFB-7E7B00375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1483743"/>
        <c:axId val="2031484159"/>
      </c:lineChart>
      <c:catAx>
        <c:axId val="2031483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PÉRIODE</a:t>
                </a:r>
                <a:r>
                  <a:rPr lang="fr-CA" baseline="0"/>
                  <a:t> (Année)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484159"/>
        <c:crosses val="autoZero"/>
        <c:auto val="1"/>
        <c:lblAlgn val="ctr"/>
        <c:lblOffset val="100"/>
        <c:noMultiLvlLbl val="0"/>
      </c:catAx>
      <c:valAx>
        <c:axId val="203148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Salaire ()$</a:t>
                </a:r>
              </a:p>
            </c:rich>
          </c:tx>
          <c:layout>
            <c:manualLayout>
              <c:xMode val="edge"/>
              <c:yMode val="edge"/>
              <c:x val="1.764234161988773E-2"/>
              <c:y val="0.433921292245876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$&quot;#\ ##0.00;[Red]\-&quot;$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48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'[1]Salaire Min'!$F$5:$F$60</c:f>
              <c:numCache>
                <c:formatCode>General</c:formatCode>
                <c:ptCount val="56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</c:numCache>
            </c:numRef>
          </c:cat>
          <c:val>
            <c:numRef>
              <c:f>'[1]Salaire Min'!$J$5:$J$60</c:f>
              <c:numCache>
                <c:formatCode>General</c:formatCode>
                <c:ptCount val="56"/>
                <c:pt idx="0">
                  <c:v>8.1547619047619051</c:v>
                </c:pt>
                <c:pt idx="1">
                  <c:v>7.8285714285714274</c:v>
                </c:pt>
                <c:pt idx="2">
                  <c:v>7.569060773480663</c:v>
                </c:pt>
                <c:pt idx="3">
                  <c:v>7.287234042553191</c:v>
                </c:pt>
                <c:pt idx="4">
                  <c:v>9.0406091370558368</c:v>
                </c:pt>
                <c:pt idx="5">
                  <c:v>10.123152709359607</c:v>
                </c:pt>
                <c:pt idx="6">
                  <c:v>10.815789473684211</c:v>
                </c:pt>
                <c:pt idx="7">
                  <c:v>10.32191780821918</c:v>
                </c:pt>
                <c:pt idx="8">
                  <c:v>10.449152542372881</c:v>
                </c:pt>
                <c:pt idx="9">
                  <c:v>11.242366412213741</c:v>
                </c:pt>
                <c:pt idx="10">
                  <c:v>11.337931034482759</c:v>
                </c:pt>
                <c:pt idx="11">
                  <c:v>11.673633440514468</c:v>
                </c:pt>
                <c:pt idx="12">
                  <c:v>10.805059523809524</c:v>
                </c:pt>
                <c:pt idx="13">
                  <c:v>10.668032786885245</c:v>
                </c:pt>
                <c:pt idx="14">
                  <c:v>10.275</c:v>
                </c:pt>
                <c:pt idx="15">
                  <c:v>9.3409090909090917</c:v>
                </c:pt>
                <c:pt idx="16">
                  <c:v>8.7181818181818187</c:v>
                </c:pt>
                <c:pt idx="17">
                  <c:v>7.860655737704918</c:v>
                </c:pt>
                <c:pt idx="18">
                  <c:v>7.4277108433734931</c:v>
                </c:pt>
                <c:pt idx="19">
                  <c:v>8.7037953795379526</c:v>
                </c:pt>
                <c:pt idx="20">
                  <c:v>8.6984126984126977</c:v>
                </c:pt>
                <c:pt idx="21">
                  <c:v>9.0846036585365866</c:v>
                </c:pt>
                <c:pt idx="22">
                  <c:v>9.1</c:v>
                </c:pt>
                <c:pt idx="23">
                  <c:v>9.1397471910112351</c:v>
                </c:pt>
                <c:pt idx="24">
                  <c:v>9.1577540106951876</c:v>
                </c:pt>
                <c:pt idx="25">
                  <c:v>9.4362244897959169</c:v>
                </c:pt>
                <c:pt idx="26">
                  <c:v>9.9275362318840585</c:v>
                </c:pt>
                <c:pt idx="27">
                  <c:v>10.356547619047618</c:v>
                </c:pt>
                <c:pt idx="28">
                  <c:v>10.162967289719628</c:v>
                </c:pt>
                <c:pt idx="29">
                  <c:v>10.710618436406067</c:v>
                </c:pt>
                <c:pt idx="30">
                  <c:v>10.712899543378997</c:v>
                </c:pt>
                <c:pt idx="31">
                  <c:v>10.556242969628794</c:v>
                </c:pt>
                <c:pt idx="32">
                  <c:v>10.38108407079646</c:v>
                </c:pt>
                <c:pt idx="33">
                  <c:v>10.278751369112813</c:v>
                </c:pt>
                <c:pt idx="34">
                  <c:v>10.10172228202368</c:v>
                </c:pt>
                <c:pt idx="35">
                  <c:v>9.8370020964360574</c:v>
                </c:pt>
                <c:pt idx="36">
                  <c:v>9.5956032719836415</c:v>
                </c:pt>
                <c:pt idx="37">
                  <c:v>9.3844999999999992</c:v>
                </c:pt>
                <c:pt idx="38">
                  <c:v>9.1288910505836576</c:v>
                </c:pt>
                <c:pt idx="39">
                  <c:v>9.355778414517669</c:v>
                </c:pt>
                <c:pt idx="40">
                  <c:v>9.5387850467289717</c:v>
                </c:pt>
                <c:pt idx="41">
                  <c:v>9.7318973418881747</c:v>
                </c:pt>
                <c:pt idx="42">
                  <c:v>9.8295964125560555</c:v>
                </c:pt>
                <c:pt idx="43">
                  <c:v>10.506134969325153</c:v>
                </c:pt>
                <c:pt idx="44">
                  <c:v>11.37674825174825</c:v>
                </c:pt>
                <c:pt idx="45">
                  <c:v>12.053648068669528</c:v>
                </c:pt>
                <c:pt idx="46">
                  <c:v>11.71184320266889</c:v>
                </c:pt>
                <c:pt idx="47">
                  <c:v>11.538619556285948</c:v>
                </c:pt>
                <c:pt idx="48">
                  <c:v>11.435260586319218</c:v>
                </c:pt>
                <c:pt idx="49">
                  <c:v>12.036741214057507</c:v>
                </c:pt>
                <c:pt idx="50">
                  <c:v>12.174170616113745</c:v>
                </c:pt>
                <c:pt idx="51">
                  <c:v>12.163551401869158</c:v>
                </c:pt>
                <c:pt idx="52">
                  <c:v>12.187116564417176</c:v>
                </c:pt>
                <c:pt idx="53">
                  <c:v>14.377811094452774</c:v>
                </c:pt>
                <c:pt idx="54">
                  <c:v>14.102941176470587</c:v>
                </c:pt>
                <c:pt idx="55">
                  <c:v>14.249999999999998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C-4048-9A1F-611F0682F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0107760"/>
        <c:axId val="1710990591"/>
      </c:lineChart>
      <c:catAx>
        <c:axId val="74010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0990591"/>
        <c:crosses val="autoZero"/>
        <c:auto val="1"/>
        <c:lblAlgn val="ctr"/>
        <c:lblOffset val="100"/>
        <c:noMultiLvlLbl val="0"/>
      </c:catAx>
      <c:valAx>
        <c:axId val="1710990591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010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Graphique</a:t>
            </a:r>
            <a:r>
              <a:rPr lang="en-US" baseline="0"/>
              <a:t> en nuage des données de 2019 de l'IDH en fonction du Revenu national brut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Graphe IPC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IDH!$H$4:$H$28</c:f>
              <c:numCache>
                <c:formatCode>General</c:formatCode>
                <c:ptCount val="25"/>
                <c:pt idx="0">
                  <c:v>66.494</c:v>
                </c:pt>
                <c:pt idx="1">
                  <c:v>69.394000000000005</c:v>
                </c:pt>
                <c:pt idx="2">
                  <c:v>54.682000000000002</c:v>
                </c:pt>
                <c:pt idx="3">
                  <c:v>57.707000000000001</c:v>
                </c:pt>
                <c:pt idx="4">
                  <c:v>46.070999999999998</c:v>
                </c:pt>
                <c:pt idx="5">
                  <c:v>48.527000000000001</c:v>
                </c:pt>
                <c:pt idx="6">
                  <c:v>56.197000000000003</c:v>
                </c:pt>
                <c:pt idx="7">
                  <c:v>40.186999999999998</c:v>
                </c:pt>
                <c:pt idx="8">
                  <c:v>47.494999999999997</c:v>
                </c:pt>
                <c:pt idx="9">
                  <c:v>28.07</c:v>
                </c:pt>
                <c:pt idx="10">
                  <c:v>29.497</c:v>
                </c:pt>
                <c:pt idx="11">
                  <c:v>19.317</c:v>
                </c:pt>
                <c:pt idx="12">
                  <c:v>18.486000000000001</c:v>
                </c:pt>
                <c:pt idx="13">
                  <c:v>58.59</c:v>
                </c:pt>
                <c:pt idx="14">
                  <c:v>26.231000000000002</c:v>
                </c:pt>
                <c:pt idx="15">
                  <c:v>14.263</c:v>
                </c:pt>
                <c:pt idx="16">
                  <c:v>11.044</c:v>
                </c:pt>
                <c:pt idx="17">
                  <c:v>12.129</c:v>
                </c:pt>
                <c:pt idx="18">
                  <c:v>13.93</c:v>
                </c:pt>
                <c:pt idx="19">
                  <c:v>10.746</c:v>
                </c:pt>
                <c:pt idx="20">
                  <c:v>9.3569999999999993</c:v>
                </c:pt>
                <c:pt idx="21">
                  <c:v>5.2690000000000001</c:v>
                </c:pt>
                <c:pt idx="22">
                  <c:v>2.879</c:v>
                </c:pt>
                <c:pt idx="23">
                  <c:v>2.1549999999999998</c:v>
                </c:pt>
                <c:pt idx="24">
                  <c:v>5.069</c:v>
                </c:pt>
              </c:numCache>
            </c:numRef>
          </c:xVal>
          <c:yVal>
            <c:numRef>
              <c:f>IDH!$I$4:$I$28</c:f>
              <c:numCache>
                <c:formatCode>General</c:formatCode>
                <c:ptCount val="25"/>
                <c:pt idx="0">
                  <c:v>0.95699999999999996</c:v>
                </c:pt>
                <c:pt idx="1">
                  <c:v>0.95499999999999996</c:v>
                </c:pt>
                <c:pt idx="2">
                  <c:v>0.94899999999999995</c:v>
                </c:pt>
                <c:pt idx="3">
                  <c:v>0.94399999999999995</c:v>
                </c:pt>
                <c:pt idx="4">
                  <c:v>0.93200000000000005</c:v>
                </c:pt>
                <c:pt idx="5">
                  <c:v>0.92900000000000005</c:v>
                </c:pt>
                <c:pt idx="6">
                  <c:v>0.92200000000000004</c:v>
                </c:pt>
                <c:pt idx="7">
                  <c:v>0.91900000000000004</c:v>
                </c:pt>
                <c:pt idx="8">
                  <c:v>0.85399999999999998</c:v>
                </c:pt>
                <c:pt idx="9">
                  <c:v>0.85099999999999998</c:v>
                </c:pt>
                <c:pt idx="10">
                  <c:v>0.82799999999999996</c:v>
                </c:pt>
                <c:pt idx="11">
                  <c:v>0.82599999999999996</c:v>
                </c:pt>
                <c:pt idx="12">
                  <c:v>0.81</c:v>
                </c:pt>
                <c:pt idx="13">
                  <c:v>0.80600000000000005</c:v>
                </c:pt>
                <c:pt idx="14">
                  <c:v>0.79600000000000004</c:v>
                </c:pt>
                <c:pt idx="15">
                  <c:v>0.76500000000000001</c:v>
                </c:pt>
                <c:pt idx="16">
                  <c:v>0.75900000000000001</c:v>
                </c:pt>
                <c:pt idx="17">
                  <c:v>0.70899999999999996</c:v>
                </c:pt>
                <c:pt idx="18">
                  <c:v>0.70299999999999996</c:v>
                </c:pt>
                <c:pt idx="19">
                  <c:v>0.66</c:v>
                </c:pt>
                <c:pt idx="20">
                  <c:v>0.64600000000000002</c:v>
                </c:pt>
                <c:pt idx="21">
                  <c:v>0.61099999999999999</c:v>
                </c:pt>
                <c:pt idx="22">
                  <c:v>0.57399999999999995</c:v>
                </c:pt>
                <c:pt idx="23">
                  <c:v>0.54300000000000004</c:v>
                </c:pt>
                <c:pt idx="24">
                  <c:v>0.53800000000000003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0A-4634-BC5E-4721B20E8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584191"/>
        <c:axId val="275585023"/>
      </c:scatterChart>
      <c:valAx>
        <c:axId val="27558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Revenu national brut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5585023"/>
        <c:crosses val="autoZero"/>
        <c:crossBetween val="midCat"/>
      </c:valAx>
      <c:valAx>
        <c:axId val="2755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IDH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5584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0EF989-3D50-404D-A420-2A453FB843FA}">
  <sheetPr/>
  <sheetViews>
    <sheetView zoomScale="8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8F0517-916F-466C-8C27-50394B8E8887}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113D89-76B8-4EB4-BAD0-261666910DA6}">
  <sheetPr/>
  <sheetViews>
    <sheetView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674" cy="628207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6D135FB-2FA3-42F2-A769-B36365E0120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815" cy="627474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F69BFEA-6294-4C77-AA73-CDBC0827CA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149679</xdr:colOff>
      <xdr:row>31</xdr:row>
      <xdr:rowOff>107043</xdr:rowOff>
    </xdr:from>
    <xdr:to>
      <xdr:col>17</xdr:col>
      <xdr:colOff>22679</xdr:colOff>
      <xdr:row>45</xdr:row>
      <xdr:rowOff>183243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DC23C5-03DF-6741-AC27-B604AAB2D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6674" cy="628207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31587F3-52DA-4936-9B58-C96AC1F582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ottawa-my.sharepoint.com/personal/mprudhom_uottawa_ca/Documents/uOttawa_Winter%202021/ECO1502/TP/TP_2/ECO1502_TP2_Hivert2021_V1_repon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C"/>
      <sheetName val="Salaire Min"/>
      <sheetName val="Revenu disponible"/>
      <sheetName val="Covid pib"/>
      <sheetName val="PIB par habitant IDH"/>
    </sheetNames>
    <sheetDataSet>
      <sheetData sheetId="0"/>
      <sheetData sheetId="1">
        <row r="5">
          <cell r="F5">
            <v>1965</v>
          </cell>
          <cell r="J5">
            <v>8.1547619047619051</v>
          </cell>
        </row>
        <row r="6">
          <cell r="F6">
            <v>1966</v>
          </cell>
          <cell r="J6">
            <v>7.8285714285714274</v>
          </cell>
        </row>
        <row r="7">
          <cell r="F7">
            <v>1967</v>
          </cell>
          <cell r="J7">
            <v>7.569060773480663</v>
          </cell>
        </row>
        <row r="8">
          <cell r="F8">
            <v>1968</v>
          </cell>
          <cell r="J8">
            <v>7.287234042553191</v>
          </cell>
        </row>
        <row r="9">
          <cell r="F9">
            <v>1969</v>
          </cell>
          <cell r="J9">
            <v>9.0406091370558368</v>
          </cell>
        </row>
        <row r="10">
          <cell r="F10">
            <v>1970</v>
          </cell>
          <cell r="J10">
            <v>10.123152709359607</v>
          </cell>
        </row>
        <row r="11">
          <cell r="F11">
            <v>1971</v>
          </cell>
          <cell r="J11">
            <v>10.815789473684211</v>
          </cell>
        </row>
        <row r="12">
          <cell r="F12">
            <v>1972</v>
          </cell>
          <cell r="J12">
            <v>10.32191780821918</v>
          </cell>
        </row>
        <row r="13">
          <cell r="F13">
            <v>1973</v>
          </cell>
          <cell r="J13">
            <v>10.449152542372881</v>
          </cell>
        </row>
        <row r="14">
          <cell r="F14">
            <v>1974</v>
          </cell>
          <cell r="J14">
            <v>11.242366412213741</v>
          </cell>
        </row>
        <row r="15">
          <cell r="F15">
            <v>1975</v>
          </cell>
          <cell r="J15">
            <v>11.337931034482759</v>
          </cell>
        </row>
        <row r="16">
          <cell r="F16">
            <v>1976</v>
          </cell>
          <cell r="J16">
            <v>11.673633440514468</v>
          </cell>
        </row>
        <row r="17">
          <cell r="F17">
            <v>1977</v>
          </cell>
          <cell r="J17">
            <v>10.805059523809524</v>
          </cell>
        </row>
        <row r="18">
          <cell r="F18">
            <v>1978</v>
          </cell>
          <cell r="J18">
            <v>10.668032786885245</v>
          </cell>
        </row>
        <row r="19">
          <cell r="F19">
            <v>1979</v>
          </cell>
          <cell r="J19">
            <v>10.275</v>
          </cell>
        </row>
        <row r="20">
          <cell r="F20">
            <v>1980</v>
          </cell>
          <cell r="J20">
            <v>9.3409090909090917</v>
          </cell>
        </row>
        <row r="21">
          <cell r="F21">
            <v>1981</v>
          </cell>
          <cell r="J21">
            <v>8.7181818181818187</v>
          </cell>
        </row>
        <row r="22">
          <cell r="F22">
            <v>1982</v>
          </cell>
          <cell r="J22">
            <v>7.860655737704918</v>
          </cell>
        </row>
        <row r="23">
          <cell r="F23">
            <v>1983</v>
          </cell>
          <cell r="J23">
            <v>7.4277108433734931</v>
          </cell>
        </row>
        <row r="24">
          <cell r="F24">
            <v>1984</v>
          </cell>
          <cell r="J24">
            <v>8.7037953795379526</v>
          </cell>
        </row>
        <row r="25">
          <cell r="F25">
            <v>1985</v>
          </cell>
          <cell r="J25">
            <v>8.6984126984126977</v>
          </cell>
        </row>
        <row r="26">
          <cell r="F26">
            <v>1986</v>
          </cell>
          <cell r="J26">
            <v>9.0846036585365866</v>
          </cell>
        </row>
        <row r="27">
          <cell r="F27">
            <v>1987</v>
          </cell>
          <cell r="J27">
            <v>9.1</v>
          </cell>
        </row>
        <row r="28">
          <cell r="F28">
            <v>1988</v>
          </cell>
          <cell r="J28">
            <v>9.1397471910112351</v>
          </cell>
        </row>
        <row r="29">
          <cell r="F29">
            <v>1989</v>
          </cell>
          <cell r="J29">
            <v>9.1577540106951876</v>
          </cell>
        </row>
        <row r="30">
          <cell r="F30">
            <v>1990</v>
          </cell>
          <cell r="J30">
            <v>9.4362244897959169</v>
          </cell>
        </row>
        <row r="31">
          <cell r="F31">
            <v>1991</v>
          </cell>
          <cell r="J31">
            <v>9.9275362318840585</v>
          </cell>
        </row>
        <row r="32">
          <cell r="F32">
            <v>1992</v>
          </cell>
          <cell r="J32">
            <v>10.356547619047618</v>
          </cell>
        </row>
        <row r="33">
          <cell r="F33">
            <v>1993</v>
          </cell>
          <cell r="J33">
            <v>10.162967289719628</v>
          </cell>
        </row>
        <row r="34">
          <cell r="F34">
            <v>1994</v>
          </cell>
          <cell r="J34">
            <v>10.710618436406067</v>
          </cell>
        </row>
        <row r="35">
          <cell r="F35">
            <v>1995</v>
          </cell>
          <cell r="J35">
            <v>10.712899543378997</v>
          </cell>
        </row>
        <row r="36">
          <cell r="F36">
            <v>1996</v>
          </cell>
          <cell r="J36">
            <v>10.556242969628794</v>
          </cell>
        </row>
        <row r="37">
          <cell r="F37">
            <v>1997</v>
          </cell>
          <cell r="J37">
            <v>10.38108407079646</v>
          </cell>
        </row>
        <row r="38">
          <cell r="F38">
            <v>1998</v>
          </cell>
          <cell r="J38">
            <v>10.278751369112813</v>
          </cell>
        </row>
        <row r="39">
          <cell r="F39">
            <v>1999</v>
          </cell>
          <cell r="J39">
            <v>10.10172228202368</v>
          </cell>
        </row>
        <row r="40">
          <cell r="F40">
            <v>2000</v>
          </cell>
          <cell r="J40">
            <v>9.8370020964360574</v>
          </cell>
        </row>
        <row r="41">
          <cell r="F41">
            <v>2001</v>
          </cell>
          <cell r="J41">
            <v>9.5956032719836415</v>
          </cell>
        </row>
        <row r="42">
          <cell r="F42">
            <v>2002</v>
          </cell>
          <cell r="J42">
            <v>9.3844999999999992</v>
          </cell>
        </row>
        <row r="43">
          <cell r="F43">
            <v>2003</v>
          </cell>
          <cell r="J43">
            <v>9.1288910505836576</v>
          </cell>
        </row>
        <row r="44">
          <cell r="F44">
            <v>2004</v>
          </cell>
          <cell r="J44">
            <v>9.355778414517669</v>
          </cell>
        </row>
        <row r="45">
          <cell r="F45">
            <v>2005</v>
          </cell>
          <cell r="J45">
            <v>9.5387850467289717</v>
          </cell>
        </row>
        <row r="46">
          <cell r="F46">
            <v>2006</v>
          </cell>
          <cell r="J46">
            <v>9.7318973418881747</v>
          </cell>
        </row>
        <row r="47">
          <cell r="F47">
            <v>2007</v>
          </cell>
          <cell r="J47">
            <v>9.8295964125560555</v>
          </cell>
        </row>
        <row r="48">
          <cell r="F48">
            <v>2008</v>
          </cell>
          <cell r="J48">
            <v>10.506134969325153</v>
          </cell>
        </row>
        <row r="49">
          <cell r="F49">
            <v>2009</v>
          </cell>
          <cell r="J49">
            <v>11.37674825174825</v>
          </cell>
        </row>
        <row r="50">
          <cell r="F50">
            <v>2010</v>
          </cell>
          <cell r="J50">
            <v>12.053648068669528</v>
          </cell>
        </row>
        <row r="51">
          <cell r="F51">
            <v>2011</v>
          </cell>
          <cell r="J51">
            <v>11.71184320266889</v>
          </cell>
        </row>
        <row r="52">
          <cell r="F52">
            <v>2012</v>
          </cell>
          <cell r="J52">
            <v>11.538619556285948</v>
          </cell>
        </row>
        <row r="53">
          <cell r="F53">
            <v>2013</v>
          </cell>
          <cell r="J53">
            <v>11.435260586319218</v>
          </cell>
        </row>
        <row r="54">
          <cell r="F54">
            <v>2014</v>
          </cell>
          <cell r="J54">
            <v>12.036741214057507</v>
          </cell>
        </row>
        <row r="55">
          <cell r="F55">
            <v>2015</v>
          </cell>
          <cell r="J55">
            <v>12.174170616113745</v>
          </cell>
        </row>
        <row r="56">
          <cell r="F56">
            <v>2016</v>
          </cell>
          <cell r="J56">
            <v>12.163551401869158</v>
          </cell>
        </row>
        <row r="57">
          <cell r="F57">
            <v>2017</v>
          </cell>
          <cell r="J57">
            <v>12.187116564417176</v>
          </cell>
        </row>
        <row r="58">
          <cell r="F58">
            <v>2018</v>
          </cell>
          <cell r="J58">
            <v>14.377811094452774</v>
          </cell>
        </row>
        <row r="59">
          <cell r="F59">
            <v>2019</v>
          </cell>
          <cell r="J59">
            <v>14.102941176470587</v>
          </cell>
        </row>
        <row r="60">
          <cell r="F60">
            <v>2020</v>
          </cell>
          <cell r="J60">
            <v>14.249999999999998</v>
          </cell>
        </row>
      </sheetData>
      <sheetData sheetId="2"/>
      <sheetData sheetId="3"/>
      <sheetData sheetId="4">
        <row r="6">
          <cell r="H6">
            <v>9975.1990734759856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hdr.undp.org/en/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70EB-0DE9-FF43-BA01-1804B05C78C1}">
  <dimension ref="C2:AD209"/>
  <sheetViews>
    <sheetView topLeftCell="N1" zoomScale="30" zoomScaleNormal="30" workbookViewId="0">
      <selection activeCell="P29" sqref="P29"/>
    </sheetView>
  </sheetViews>
  <sheetFormatPr baseColWidth="10" defaultColWidth="10.796875" defaultRowHeight="25.8"/>
  <cols>
    <col min="1" max="1" width="10.796875" style="2"/>
    <col min="2" max="2" width="43" style="2" customWidth="1"/>
    <col min="3" max="3" width="10.796875" style="2"/>
    <col min="4" max="4" width="44.5" style="2" customWidth="1"/>
    <col min="5" max="9" width="20.5" style="2" customWidth="1"/>
    <col min="10" max="10" width="23.19921875" style="2" customWidth="1"/>
    <col min="11" max="25" width="20.5" style="2" customWidth="1"/>
    <col min="26" max="26" width="21.19921875" style="2" customWidth="1"/>
    <col min="27" max="27" width="20.19921875" style="2" customWidth="1"/>
    <col min="28" max="28" width="20.5" style="2" customWidth="1"/>
    <col min="29" max="29" width="19.5" style="2" customWidth="1"/>
    <col min="30" max="30" width="23.19921875" style="2" customWidth="1"/>
    <col min="31" max="16384" width="10.796875" style="2"/>
  </cols>
  <sheetData>
    <row r="2" spans="3:30">
      <c r="E2" s="68" t="s">
        <v>15</v>
      </c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R2" s="70" t="s">
        <v>0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14"/>
    </row>
    <row r="3" spans="3:30" s="3" customFormat="1" ht="136.05000000000001" customHeight="1">
      <c r="D3" s="4"/>
      <c r="E3" s="13" t="s">
        <v>13</v>
      </c>
      <c r="F3" s="13" t="s">
        <v>12</v>
      </c>
      <c r="G3" s="13" t="s">
        <v>11</v>
      </c>
      <c r="H3" s="13" t="s">
        <v>10</v>
      </c>
      <c r="I3" s="13" t="s">
        <v>9</v>
      </c>
      <c r="J3" s="13" t="s">
        <v>8</v>
      </c>
      <c r="K3" s="13" t="s">
        <v>34</v>
      </c>
      <c r="L3" s="13" t="s">
        <v>35</v>
      </c>
      <c r="M3" s="13" t="s">
        <v>5</v>
      </c>
      <c r="N3" s="13" t="s">
        <v>36</v>
      </c>
      <c r="O3" s="13" t="s">
        <v>37</v>
      </c>
      <c r="P3" s="5" t="s">
        <v>16</v>
      </c>
      <c r="Q3" s="5"/>
      <c r="R3" s="13" t="s">
        <v>13</v>
      </c>
      <c r="S3" s="13" t="s">
        <v>12</v>
      </c>
      <c r="T3" s="13" t="s">
        <v>11</v>
      </c>
      <c r="U3" s="13" t="s">
        <v>10</v>
      </c>
      <c r="V3" s="13" t="s">
        <v>9</v>
      </c>
      <c r="W3" s="13" t="s">
        <v>8</v>
      </c>
      <c r="X3" s="13" t="s">
        <v>7</v>
      </c>
      <c r="Y3" s="13" t="s">
        <v>6</v>
      </c>
      <c r="Z3" s="13" t="s">
        <v>5</v>
      </c>
      <c r="AA3" s="13" t="s">
        <v>4</v>
      </c>
      <c r="AB3" s="13" t="s">
        <v>3</v>
      </c>
      <c r="AC3" s="13" t="s">
        <v>17</v>
      </c>
      <c r="AD3" s="15" t="s">
        <v>2</v>
      </c>
    </row>
    <row r="4" spans="3:30">
      <c r="C4" s="43" t="s">
        <v>14</v>
      </c>
      <c r="D4" s="23"/>
      <c r="E4" s="24">
        <v>0.1174</v>
      </c>
      <c r="F4" s="24">
        <v>4.4999999999999998E-2</v>
      </c>
      <c r="G4" s="24">
        <v>0.30030000000000001</v>
      </c>
      <c r="H4" s="24">
        <v>0.13900000000000001</v>
      </c>
      <c r="I4" s="24">
        <v>3.9899999999999998E-2</v>
      </c>
      <c r="J4" s="24">
        <v>0.15959999999999999</v>
      </c>
      <c r="K4" s="24">
        <v>4.6800000000000001E-2</v>
      </c>
      <c r="L4" s="24">
        <v>7.8399999999999997E-2</v>
      </c>
      <c r="M4" s="24">
        <v>1.41E-2</v>
      </c>
      <c r="N4" s="23">
        <v>1.5E-3</v>
      </c>
      <c r="O4" s="24">
        <v>4.8000000000000001E-2</v>
      </c>
      <c r="P4" s="25">
        <f>SUM(E4:O4)</f>
        <v>0.99</v>
      </c>
      <c r="Q4" s="23"/>
      <c r="R4" s="50">
        <v>0.10589999999999999</v>
      </c>
      <c r="S4" s="50">
        <v>5.2699999999999997E-2</v>
      </c>
      <c r="T4" s="50">
        <v>0.2099</v>
      </c>
      <c r="U4" s="50">
        <v>7.4800000000000005E-2</v>
      </c>
      <c r="V4" s="50">
        <v>5.3800000000000001E-2</v>
      </c>
      <c r="W4" s="50">
        <v>4.41E-2</v>
      </c>
      <c r="X4" s="50">
        <v>2.18E-2</v>
      </c>
      <c r="Y4" s="50">
        <v>3.1600000000000003E-2</v>
      </c>
      <c r="Z4" s="50">
        <v>0.36120000000000002</v>
      </c>
      <c r="AA4" s="50">
        <v>2.01E-2</v>
      </c>
      <c r="AB4" s="50">
        <v>6.6E-3</v>
      </c>
      <c r="AC4" s="50">
        <f>SUM(R4:AB4)</f>
        <v>0.98250000000000004</v>
      </c>
    </row>
    <row r="5" spans="3:30">
      <c r="C5" s="44" t="s">
        <v>38</v>
      </c>
    </row>
    <row r="6" spans="3:30" ht="27">
      <c r="C6" s="45" t="s">
        <v>39</v>
      </c>
      <c r="P6" s="9"/>
      <c r="Q6" s="1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3:30" ht="27">
      <c r="C7" s="8"/>
      <c r="D7" s="2">
        <v>2002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65">
        <v>100</v>
      </c>
      <c r="Q7" s="12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59">
        <f>E7*R4+F7*S4+G7*T4+H7*U4+I7*V4+J7*W4+K7*X4+L7*Y4+M7*Z4+N7*AA4+O7*AB4</f>
        <v>98.250000000000014</v>
      </c>
      <c r="AD7" s="2">
        <v>2002</v>
      </c>
    </row>
    <row r="8" spans="3:30" ht="27">
      <c r="C8" s="8"/>
      <c r="D8" s="2">
        <v>2003</v>
      </c>
      <c r="E8" s="9">
        <v>101.4</v>
      </c>
      <c r="F8" s="9">
        <v>102.5</v>
      </c>
      <c r="G8" s="9">
        <v>103.2</v>
      </c>
      <c r="H8" s="9">
        <v>100.7</v>
      </c>
      <c r="I8" s="9">
        <v>98.2</v>
      </c>
      <c r="J8" s="9">
        <v>105.2</v>
      </c>
      <c r="K8" s="9">
        <v>101.4</v>
      </c>
      <c r="L8" s="9">
        <v>100.8</v>
      </c>
      <c r="M8" s="9">
        <v>106</v>
      </c>
      <c r="N8" s="9">
        <v>102.4</v>
      </c>
      <c r="O8" s="9">
        <v>110.1</v>
      </c>
      <c r="P8" s="65">
        <v>102.8</v>
      </c>
      <c r="Q8" s="62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59">
        <f>E8*R4+F8*S4+G8*T4+H8*U4+I8*V4+J8*W4+K8*X4+L8*Y4+M8*Z4+N8*AA4+O8*AB4</f>
        <v>101.72443000000001</v>
      </c>
      <c r="AD8" s="2">
        <v>2003</v>
      </c>
    </row>
    <row r="9" spans="3:30" ht="27">
      <c r="C9" s="8"/>
      <c r="D9" s="2">
        <v>2004</v>
      </c>
      <c r="E9" s="9">
        <v>103.2</v>
      </c>
      <c r="F9" s="9">
        <v>105.2</v>
      </c>
      <c r="G9" s="9">
        <v>105.8</v>
      </c>
      <c r="H9" s="9">
        <v>101.2</v>
      </c>
      <c r="I9" s="9">
        <v>98</v>
      </c>
      <c r="J9" s="9">
        <v>107.7</v>
      </c>
      <c r="K9" s="9">
        <v>102.8</v>
      </c>
      <c r="L9" s="9">
        <v>101.1</v>
      </c>
      <c r="M9" s="9">
        <v>113.2</v>
      </c>
      <c r="N9" s="9">
        <v>103.8</v>
      </c>
      <c r="O9" s="9">
        <v>116</v>
      </c>
      <c r="P9" s="65">
        <v>104.7</v>
      </c>
      <c r="Q9" s="62"/>
      <c r="R9" s="28"/>
      <c r="S9" s="28"/>
      <c r="T9" s="28"/>
      <c r="U9" s="28"/>
      <c r="V9" s="28"/>
      <c r="W9" s="28"/>
      <c r="X9" s="28"/>
      <c r="Y9" s="28"/>
      <c r="Z9" s="29"/>
      <c r="AA9" s="29"/>
      <c r="AB9" s="30"/>
      <c r="AC9" s="59">
        <f>E9*R4+F9*S4+G9*T4+H9*U4+I9*V4+J9*W4+K9*X4+L9*Y4+M9*Z4+N9*AA4+O9*AB4</f>
        <v>105.44769000000001</v>
      </c>
      <c r="AD9" s="2">
        <v>2004</v>
      </c>
    </row>
    <row r="10" spans="3:30" ht="27">
      <c r="C10" s="8"/>
      <c r="D10" s="2">
        <v>2005</v>
      </c>
      <c r="E10" s="9">
        <v>105.6</v>
      </c>
      <c r="F10" s="9">
        <v>108.2</v>
      </c>
      <c r="G10" s="9">
        <v>109.2</v>
      </c>
      <c r="H10" s="9">
        <v>101.7</v>
      </c>
      <c r="I10" s="9">
        <v>97.6</v>
      </c>
      <c r="J10" s="9">
        <v>112</v>
      </c>
      <c r="K10" s="9">
        <v>104.6</v>
      </c>
      <c r="L10" s="9">
        <v>100.8</v>
      </c>
      <c r="M10" s="9">
        <v>117</v>
      </c>
      <c r="N10" s="9">
        <v>105.2</v>
      </c>
      <c r="O10" s="9">
        <v>119.1</v>
      </c>
      <c r="P10" s="65">
        <v>107</v>
      </c>
      <c r="Q10" s="62"/>
      <c r="R10" s="31"/>
      <c r="S10" s="28"/>
      <c r="T10" s="28"/>
      <c r="U10" s="28"/>
      <c r="V10" s="28"/>
      <c r="W10" s="28"/>
      <c r="X10" s="28"/>
      <c r="Y10" s="28"/>
      <c r="Z10" s="29"/>
      <c r="AA10" s="29"/>
      <c r="AB10" s="30"/>
      <c r="AC10" s="59">
        <f>E10*R4+F10*S4+G10*T4+H10*U4+I10*V4+J10*W4+K10*X4+L10*Y4+M10*Z4+N10*AA4+O10*AB4</f>
        <v>108.23004</v>
      </c>
      <c r="AD10" s="2">
        <v>2005</v>
      </c>
    </row>
    <row r="11" spans="3:30" ht="27">
      <c r="C11" s="8"/>
      <c r="D11" s="2">
        <v>2006</v>
      </c>
      <c r="E11" s="9">
        <v>108</v>
      </c>
      <c r="F11" s="9">
        <v>111.1</v>
      </c>
      <c r="G11" s="9">
        <v>113.1</v>
      </c>
      <c r="H11" s="9">
        <v>102.2</v>
      </c>
      <c r="I11" s="9">
        <v>95.8</v>
      </c>
      <c r="J11" s="9">
        <v>115.2</v>
      </c>
      <c r="K11" s="9">
        <v>105.9</v>
      </c>
      <c r="L11" s="9">
        <v>100.6</v>
      </c>
      <c r="M11" s="9">
        <v>119.6</v>
      </c>
      <c r="N11" s="9">
        <v>106.3</v>
      </c>
      <c r="O11" s="9">
        <v>121.7</v>
      </c>
      <c r="P11" s="65">
        <v>109.1</v>
      </c>
      <c r="Q11" s="62"/>
      <c r="R11" s="28"/>
      <c r="S11" s="28"/>
      <c r="T11" s="28"/>
      <c r="U11" s="28"/>
      <c r="V11" s="28"/>
      <c r="W11" s="28"/>
      <c r="X11" s="28"/>
      <c r="Y11" s="28"/>
      <c r="Z11" s="29"/>
      <c r="AA11" s="29"/>
      <c r="AB11" s="30"/>
      <c r="AC11" s="59">
        <f>E11*R4+F11*S4+G11*T4+H11*U4+I11*V4+J11*W4+K11*X4+L11*Y4+M11*Z4+N11*AA4+O11*AB4</f>
        <v>110.53773</v>
      </c>
      <c r="AD11" s="2">
        <v>2006</v>
      </c>
    </row>
    <row r="12" spans="3:30" ht="27">
      <c r="C12" s="8"/>
      <c r="D12" s="2">
        <v>2007</v>
      </c>
      <c r="E12" s="9">
        <v>110.9</v>
      </c>
      <c r="F12" s="9">
        <v>114.1</v>
      </c>
      <c r="G12" s="9">
        <v>116.9</v>
      </c>
      <c r="H12" s="9">
        <v>103.2</v>
      </c>
      <c r="I12" s="9">
        <v>95.7</v>
      </c>
      <c r="J12" s="9">
        <v>117.1</v>
      </c>
      <c r="K12" s="9">
        <v>107.3</v>
      </c>
      <c r="L12" s="9">
        <v>101.8</v>
      </c>
      <c r="M12" s="9">
        <v>123.2</v>
      </c>
      <c r="N12" s="9">
        <v>107.8</v>
      </c>
      <c r="O12" s="9">
        <v>125.5</v>
      </c>
      <c r="P12" s="65">
        <v>111.5</v>
      </c>
      <c r="Q12" s="62"/>
      <c r="R12" s="28"/>
      <c r="S12" s="28"/>
      <c r="T12" s="28"/>
      <c r="U12" s="28"/>
      <c r="V12" s="28"/>
      <c r="W12" s="28"/>
      <c r="X12" s="28"/>
      <c r="Y12" s="28"/>
      <c r="Z12" s="29"/>
      <c r="AA12" s="29"/>
      <c r="AB12" s="30"/>
      <c r="AC12" s="59">
        <f>E12*R4+F12*S4+G12*T4+H12*U4+I12*V4+J12*W4+K12*X4+L12*Y4+M12*Z4+N12*AA4+O12*AB4</f>
        <v>113.37776000000001</v>
      </c>
      <c r="AD12" s="2">
        <v>2007</v>
      </c>
    </row>
    <row r="13" spans="3:30" ht="27">
      <c r="C13" s="8"/>
      <c r="D13" s="2">
        <v>2008</v>
      </c>
      <c r="E13" s="9">
        <v>115.2</v>
      </c>
      <c r="F13" s="9">
        <v>117</v>
      </c>
      <c r="G13" s="9">
        <v>122</v>
      </c>
      <c r="H13" s="9">
        <v>104.6</v>
      </c>
      <c r="I13" s="9">
        <v>93.8</v>
      </c>
      <c r="J13" s="9">
        <v>119.5</v>
      </c>
      <c r="K13" s="9">
        <v>108.8</v>
      </c>
      <c r="L13" s="9">
        <v>102.2</v>
      </c>
      <c r="M13" s="9">
        <v>127.4</v>
      </c>
      <c r="N13" s="9">
        <v>108.9</v>
      </c>
      <c r="O13" s="9">
        <v>127.5</v>
      </c>
      <c r="P13" s="65">
        <v>114.1</v>
      </c>
      <c r="Q13" s="62"/>
      <c r="R13" s="28"/>
      <c r="S13" s="28"/>
      <c r="T13" s="28"/>
      <c r="U13" s="28"/>
      <c r="V13" s="28"/>
      <c r="W13" s="28"/>
      <c r="X13" s="28"/>
      <c r="Y13" s="29"/>
      <c r="Z13" s="29"/>
      <c r="AA13" s="29"/>
      <c r="AB13" s="30"/>
      <c r="AC13" s="59">
        <f>E13*R4+F13*S4+G13*T4+H13*U4+I13*V4+J13*W4+K13*X4+L13*Y4+M13*Z4+N13*AA4+O13*AB4</f>
        <v>116.76248</v>
      </c>
      <c r="AD13" s="2">
        <v>2008</v>
      </c>
    </row>
    <row r="14" spans="3:30" ht="27">
      <c r="C14" s="8"/>
      <c r="D14" s="2">
        <v>2009</v>
      </c>
      <c r="E14" s="9">
        <v>121.5</v>
      </c>
      <c r="F14" s="9">
        <v>121.1</v>
      </c>
      <c r="G14" s="9">
        <v>121.6</v>
      </c>
      <c r="H14" s="9">
        <v>107.3</v>
      </c>
      <c r="I14" s="9">
        <v>93.4</v>
      </c>
      <c r="J14" s="9">
        <v>113.1</v>
      </c>
      <c r="K14" s="9">
        <v>112.1</v>
      </c>
      <c r="L14" s="9">
        <v>103.1</v>
      </c>
      <c r="M14" s="9">
        <v>132.5</v>
      </c>
      <c r="N14" s="9">
        <v>112.7</v>
      </c>
      <c r="O14" s="9">
        <v>130.69999999999999</v>
      </c>
      <c r="P14" s="65">
        <v>114.4</v>
      </c>
      <c r="Q14" s="62"/>
      <c r="R14" s="28"/>
      <c r="S14" s="28"/>
      <c r="T14" s="28"/>
      <c r="U14" s="28"/>
      <c r="V14" s="28"/>
      <c r="W14" s="28"/>
      <c r="X14" s="28"/>
      <c r="Y14" s="28"/>
      <c r="Z14" s="29"/>
      <c r="AA14" s="29"/>
      <c r="AB14" s="30"/>
      <c r="AC14" s="59">
        <f>E14*R4+F14*S4+G14*T4+H14*U4+I14*V4+J14*W4+K14*X4+L14*Y4+M14*Z4+N14*AA4+O14*AB4</f>
        <v>119.49996000000002</v>
      </c>
      <c r="AD14" s="2">
        <v>2009</v>
      </c>
    </row>
    <row r="15" spans="3:30" ht="27">
      <c r="C15" s="8"/>
      <c r="D15" s="2">
        <v>2010</v>
      </c>
      <c r="E15" s="9">
        <v>122.7</v>
      </c>
      <c r="F15" s="9">
        <v>124</v>
      </c>
      <c r="G15" s="9">
        <v>123.3</v>
      </c>
      <c r="H15" s="9">
        <v>108.8</v>
      </c>
      <c r="I15" s="9">
        <v>91.6</v>
      </c>
      <c r="J15" s="9">
        <v>118</v>
      </c>
      <c r="K15" s="9">
        <v>115.1</v>
      </c>
      <c r="L15" s="9">
        <v>104</v>
      </c>
      <c r="M15" s="9">
        <v>137.69999999999999</v>
      </c>
      <c r="N15" s="9">
        <v>119.7</v>
      </c>
      <c r="O15" s="9">
        <v>133.1</v>
      </c>
      <c r="P15" s="65">
        <v>116.5</v>
      </c>
      <c r="Q15" s="62"/>
      <c r="R15" s="28"/>
      <c r="S15" s="28"/>
      <c r="T15" s="28"/>
      <c r="U15" s="28"/>
      <c r="V15" s="28"/>
      <c r="W15" s="28"/>
      <c r="X15" s="28"/>
      <c r="Y15" s="28"/>
      <c r="Z15" s="29"/>
      <c r="AA15" s="29"/>
      <c r="AB15" s="30"/>
      <c r="AC15" s="59">
        <f>E15*R4+F15*S4+G15*T4+H15*U4+I15*V4+J15*W4+K15*X4+L15*Y4+M15*Z4+N15*AA4+O15*AB4</f>
        <v>122.49677</v>
      </c>
      <c r="AD15" s="2">
        <v>2010</v>
      </c>
    </row>
    <row r="16" spans="3:30" ht="27">
      <c r="C16" s="8"/>
      <c r="D16" s="2">
        <v>2011</v>
      </c>
      <c r="E16" s="9">
        <v>127.9</v>
      </c>
      <c r="F16" s="9">
        <v>127.5</v>
      </c>
      <c r="G16" s="9">
        <v>125.6</v>
      </c>
      <c r="H16" s="9">
        <v>110.9</v>
      </c>
      <c r="I16" s="9">
        <v>91.9</v>
      </c>
      <c r="J16" s="9">
        <v>125.6</v>
      </c>
      <c r="K16" s="9">
        <v>117.1</v>
      </c>
      <c r="L16" s="9">
        <v>105.3</v>
      </c>
      <c r="M16" s="9">
        <v>143.1</v>
      </c>
      <c r="N16" s="9">
        <v>125.3</v>
      </c>
      <c r="O16" s="9">
        <v>135.6</v>
      </c>
      <c r="P16" s="65">
        <v>119.9</v>
      </c>
      <c r="Q16" s="62"/>
      <c r="R16" s="28"/>
      <c r="S16" s="28"/>
      <c r="T16" s="28"/>
      <c r="U16" s="28"/>
      <c r="V16" s="28"/>
      <c r="W16" s="28"/>
      <c r="X16" s="28"/>
      <c r="Y16" s="28"/>
      <c r="Z16" s="29"/>
      <c r="AA16" s="29"/>
      <c r="AB16" s="30"/>
      <c r="AC16" s="59">
        <f>E16*R4+F16*S4+G16*T4+H16*U4+I16*V4+J16*W4+K16*X4+L16*Y4+M16*Z4+N16*AA4+O16*AB4</f>
        <v>126.38727</v>
      </c>
      <c r="AD16" s="2">
        <v>2011</v>
      </c>
    </row>
    <row r="17" spans="3:30" ht="27">
      <c r="C17" s="8"/>
      <c r="D17" s="2">
        <v>2012</v>
      </c>
      <c r="E17" s="9">
        <v>130.9</v>
      </c>
      <c r="F17" s="9">
        <v>130.6</v>
      </c>
      <c r="G17" s="9">
        <v>127.1</v>
      </c>
      <c r="H17" s="9">
        <v>113</v>
      </c>
      <c r="I17" s="9">
        <v>92</v>
      </c>
      <c r="J17" s="9">
        <v>128.1</v>
      </c>
      <c r="K17" s="9">
        <v>118.7</v>
      </c>
      <c r="L17" s="9">
        <v>105.9</v>
      </c>
      <c r="M17" s="9">
        <v>148.80000000000001</v>
      </c>
      <c r="N17" s="9">
        <v>128.4</v>
      </c>
      <c r="O17" s="9">
        <v>137.6</v>
      </c>
      <c r="P17" s="65">
        <v>121.7</v>
      </c>
      <c r="Q17" s="62"/>
      <c r="R17" s="28"/>
      <c r="S17" s="28"/>
      <c r="T17" s="28"/>
      <c r="U17" s="28"/>
      <c r="V17" s="28"/>
      <c r="W17" s="28"/>
      <c r="X17" s="28"/>
      <c r="Y17" s="28"/>
      <c r="Z17" s="29"/>
      <c r="AA17" s="29"/>
      <c r="AB17" s="30"/>
      <c r="AC17" s="59">
        <f>E17*R4+F17*S4+G17*T4+H17*U4+I17*V4+J17*W4+K17*X4+L17*Y4+M17*Z4+N17*AA4+O17*AB4</f>
        <v>129.64409000000001</v>
      </c>
      <c r="AD17" s="2">
        <v>2012</v>
      </c>
    </row>
    <row r="18" spans="3:30" ht="27">
      <c r="C18" s="8"/>
      <c r="D18" s="2">
        <v>2013</v>
      </c>
      <c r="E18" s="9">
        <v>132.30000000000001</v>
      </c>
      <c r="F18" s="9">
        <v>132.6</v>
      </c>
      <c r="G18" s="9">
        <v>128.69999999999999</v>
      </c>
      <c r="H18" s="9">
        <v>114.4</v>
      </c>
      <c r="I18" s="9">
        <v>92.1</v>
      </c>
      <c r="J18" s="9">
        <v>129</v>
      </c>
      <c r="K18" s="9">
        <v>118.3</v>
      </c>
      <c r="L18" s="9">
        <v>106.2</v>
      </c>
      <c r="M18" s="9">
        <v>154</v>
      </c>
      <c r="N18" s="9">
        <v>131.30000000000001</v>
      </c>
      <c r="O18" s="9">
        <v>140.4</v>
      </c>
      <c r="P18" s="65">
        <v>122.8</v>
      </c>
      <c r="Q18" s="62"/>
      <c r="R18" s="28"/>
      <c r="S18" s="28"/>
      <c r="T18" s="28"/>
      <c r="U18" s="28"/>
      <c r="V18" s="28"/>
      <c r="W18" s="28"/>
      <c r="X18" s="28"/>
      <c r="Y18" s="28"/>
      <c r="Z18" s="29"/>
      <c r="AA18" s="29"/>
      <c r="AB18" s="30"/>
      <c r="AC18" s="59">
        <f>E18*R4+F18*S4+G18*T4+H18*U4+I18*V4+J18*W4+K18*X4+L18*Y4+M18*Z4+N18*AA4+O18*AB4</f>
        <v>132.33914999999999</v>
      </c>
      <c r="AD18" s="2">
        <v>2013</v>
      </c>
    </row>
    <row r="19" spans="3:30" ht="27">
      <c r="C19" s="8"/>
      <c r="D19" s="2">
        <v>2014</v>
      </c>
      <c r="E19" s="9">
        <v>135.6</v>
      </c>
      <c r="F19" s="9">
        <v>135.19999999999999</v>
      </c>
      <c r="G19" s="9">
        <v>132.19999999999999</v>
      </c>
      <c r="H19" s="9">
        <v>116.6</v>
      </c>
      <c r="I19" s="9">
        <v>93.2</v>
      </c>
      <c r="J19" s="9">
        <v>130.4</v>
      </c>
      <c r="K19" s="9">
        <v>119</v>
      </c>
      <c r="L19" s="9">
        <v>107.4</v>
      </c>
      <c r="M19" s="9">
        <v>158.9</v>
      </c>
      <c r="N19" s="9">
        <v>135.5</v>
      </c>
      <c r="O19" s="9">
        <v>146.6</v>
      </c>
      <c r="P19" s="65">
        <v>125.2</v>
      </c>
      <c r="Q19" s="62"/>
      <c r="R19" s="28"/>
      <c r="S19" s="28"/>
      <c r="T19" s="28"/>
      <c r="U19" s="28"/>
      <c r="V19" s="28"/>
      <c r="W19" s="28"/>
      <c r="X19" s="28"/>
      <c r="Y19" s="28"/>
      <c r="Z19" s="29"/>
      <c r="AA19" s="29"/>
      <c r="AB19" s="30"/>
      <c r="AC19" s="59">
        <f>E19*R4+F19*S4+G19*T4+H19*U4+I19*V4+J19*W4+K19*X4+L19*Y4+M19*Z4+N19*AA4+O19*AB4</f>
        <v>135.79416999999998</v>
      </c>
      <c r="AD19" s="2">
        <v>2014</v>
      </c>
    </row>
    <row r="20" spans="3:30" ht="27">
      <c r="C20" s="8"/>
      <c r="D20" s="2">
        <v>2015</v>
      </c>
      <c r="E20" s="9">
        <v>141.19999999999999</v>
      </c>
      <c r="F20" s="9">
        <v>138.9</v>
      </c>
      <c r="G20" s="9">
        <v>133.69999999999999</v>
      </c>
      <c r="H20" s="9">
        <v>119.7</v>
      </c>
      <c r="I20" s="9">
        <v>94.6</v>
      </c>
      <c r="J20" s="9">
        <v>126.5</v>
      </c>
      <c r="K20" s="9">
        <v>120.5</v>
      </c>
      <c r="L20" s="9">
        <v>109.4</v>
      </c>
      <c r="M20" s="9">
        <v>163.69999999999999</v>
      </c>
      <c r="N20" s="9">
        <v>139.9</v>
      </c>
      <c r="O20" s="9">
        <v>152</v>
      </c>
      <c r="P20" s="65">
        <v>126.6</v>
      </c>
      <c r="Q20" s="62"/>
      <c r="R20" s="28"/>
      <c r="S20" s="28"/>
      <c r="T20" s="28"/>
      <c r="U20" s="28"/>
      <c r="V20" s="28"/>
      <c r="W20" s="28"/>
      <c r="X20" s="28"/>
      <c r="Y20" s="28"/>
      <c r="Z20" s="29"/>
      <c r="AA20" s="29"/>
      <c r="AB20" s="30"/>
      <c r="AC20" s="59">
        <f>E20*R4+F20*S4+G20*T4+H20*U4+I20*V4+J20*W4+K20*X4+L20*Y4+M20*Z4+N20*AA4+O20*AB4</f>
        <v>138.98600000000002</v>
      </c>
      <c r="AD20" s="2">
        <v>2015</v>
      </c>
    </row>
    <row r="21" spans="3:30" ht="27">
      <c r="C21" s="8"/>
      <c r="D21" s="2">
        <v>2016</v>
      </c>
      <c r="E21" s="9">
        <v>142.6</v>
      </c>
      <c r="F21" s="9">
        <v>142.5</v>
      </c>
      <c r="G21" s="9">
        <v>135.80000000000001</v>
      </c>
      <c r="H21" s="9">
        <v>121.7</v>
      </c>
      <c r="I21" s="9">
        <v>94.4</v>
      </c>
      <c r="J21" s="9">
        <v>127.9</v>
      </c>
      <c r="K21" s="9">
        <v>122.2</v>
      </c>
      <c r="L21" s="9">
        <v>111.3</v>
      </c>
      <c r="M21" s="9">
        <v>168.3</v>
      </c>
      <c r="N21" s="9">
        <v>143</v>
      </c>
      <c r="O21" s="9">
        <v>156.80000000000001</v>
      </c>
      <c r="P21" s="65">
        <v>128.4</v>
      </c>
      <c r="Q21" s="62"/>
      <c r="R21" s="28"/>
      <c r="S21" s="28"/>
      <c r="T21" s="28"/>
      <c r="U21" s="28"/>
      <c r="V21" s="28"/>
      <c r="W21" s="28"/>
      <c r="X21" s="28"/>
      <c r="Y21" s="28"/>
      <c r="Z21" s="29"/>
      <c r="AA21" s="29"/>
      <c r="AB21" s="30"/>
      <c r="AC21" s="59">
        <f>E21*R4+F21*S4+G21*T4+H21*U4+I21*V4+J21*W4+K21*X4+L21*Y4+M21*Z4+N21*AA4+O21*AB4</f>
        <v>141.81796000000003</v>
      </c>
      <c r="AD21" s="2">
        <v>2016</v>
      </c>
    </row>
    <row r="22" spans="3:30" ht="27">
      <c r="C22" s="8"/>
      <c r="D22" s="2">
        <v>2017</v>
      </c>
      <c r="E22" s="9">
        <v>141.19999999999999</v>
      </c>
      <c r="F22" s="9">
        <v>146.19999999999999</v>
      </c>
      <c r="G22" s="9">
        <v>138.1</v>
      </c>
      <c r="H22" s="9">
        <v>121.9</v>
      </c>
      <c r="I22" s="9">
        <v>93.7</v>
      </c>
      <c r="J22" s="9">
        <v>132.9</v>
      </c>
      <c r="K22" s="9">
        <v>124.3</v>
      </c>
      <c r="L22" s="9">
        <v>114</v>
      </c>
      <c r="M22" s="9">
        <v>173.1</v>
      </c>
      <c r="N22" s="9">
        <v>144.5</v>
      </c>
      <c r="O22" s="9">
        <v>161.1</v>
      </c>
      <c r="P22" s="65">
        <v>130.4</v>
      </c>
      <c r="Q22" s="62"/>
      <c r="R22" s="28"/>
      <c r="S22" s="28"/>
      <c r="T22" s="28"/>
      <c r="U22" s="28"/>
      <c r="V22" s="28"/>
      <c r="W22" s="28"/>
      <c r="X22" s="28"/>
      <c r="Y22" s="28"/>
      <c r="Z22" s="29"/>
      <c r="AA22" s="29"/>
      <c r="AB22" s="30"/>
      <c r="AC22" s="59">
        <f>E22*R4+F22*S4+G22*T4+H22*U4+I22*V4+J22*W4+K22*X4+L22*Y4+M22*Z4+N22*AA4+O22*AB4</f>
        <v>144.46865000000003</v>
      </c>
      <c r="AD22" s="2">
        <v>2017</v>
      </c>
    </row>
    <row r="23" spans="3:30" ht="27">
      <c r="C23" s="8"/>
      <c r="D23" s="2">
        <v>2018</v>
      </c>
      <c r="E23" s="9">
        <v>142.30000000000001</v>
      </c>
      <c r="F23" s="9">
        <v>152.4</v>
      </c>
      <c r="G23" s="9">
        <v>140.9</v>
      </c>
      <c r="H23" s="9">
        <v>123.2</v>
      </c>
      <c r="I23" s="9">
        <v>94.5</v>
      </c>
      <c r="J23" s="9">
        <v>139.1</v>
      </c>
      <c r="K23" s="9">
        <v>125.9</v>
      </c>
      <c r="L23" s="9">
        <v>115.3</v>
      </c>
      <c r="M23" s="9">
        <v>178.3</v>
      </c>
      <c r="N23" s="9">
        <v>145.9</v>
      </c>
      <c r="O23" s="9">
        <v>167.9</v>
      </c>
      <c r="P23" s="65">
        <v>133.4</v>
      </c>
      <c r="Q23" s="62"/>
      <c r="R23" s="28"/>
      <c r="S23" s="28"/>
      <c r="T23" s="28"/>
      <c r="U23" s="28"/>
      <c r="V23" s="28"/>
      <c r="W23" s="28"/>
      <c r="X23" s="28"/>
      <c r="Y23" s="32"/>
      <c r="Z23" s="29"/>
      <c r="AA23" s="29"/>
      <c r="AB23" s="30"/>
      <c r="AC23" s="59">
        <f>E23*R4+F23*S4+G23*T4+H23*U4+I23*V4+J23*W4+K23*X4+L23*Y4+M23*Z4+N23*AA4+O23*AB4</f>
        <v>147.94051999999999</v>
      </c>
      <c r="AD23" s="2">
        <v>2018</v>
      </c>
    </row>
    <row r="24" spans="3:30" ht="27">
      <c r="C24" s="8"/>
      <c r="D24" s="2">
        <v>2019</v>
      </c>
      <c r="E24" s="9">
        <v>147.6</v>
      </c>
      <c r="F24" s="9">
        <v>156.5</v>
      </c>
      <c r="G24" s="9">
        <v>144.5</v>
      </c>
      <c r="H24" s="9">
        <v>123.6</v>
      </c>
      <c r="I24" s="9">
        <v>96.1</v>
      </c>
      <c r="J24" s="9">
        <v>141.5</v>
      </c>
      <c r="K24" s="9">
        <v>127.4</v>
      </c>
      <c r="L24" s="9">
        <v>116.8</v>
      </c>
      <c r="M24" s="9">
        <v>179.7</v>
      </c>
      <c r="N24" s="9">
        <v>147.30000000000001</v>
      </c>
      <c r="O24" s="9">
        <v>171.1</v>
      </c>
      <c r="P24" s="65">
        <v>136</v>
      </c>
      <c r="Q24" s="62"/>
      <c r="R24" s="28"/>
      <c r="S24" s="28"/>
      <c r="T24" s="28"/>
      <c r="U24" s="28"/>
      <c r="V24" s="28"/>
      <c r="W24" s="28"/>
      <c r="X24" s="28"/>
      <c r="Y24" s="32"/>
      <c r="Z24" s="29"/>
      <c r="AA24" s="29"/>
      <c r="AB24" s="29"/>
      <c r="AC24" s="59">
        <f>E24*R4+F24*S4+G24*T4+H24*U4+I24*V4+J24*W4+K24*X4+L24*Y4+M24*Z4+N24*AA4+O24*AB4</f>
        <v>150.33037999999999</v>
      </c>
      <c r="AD24" s="2">
        <v>2019</v>
      </c>
    </row>
    <row r="25" spans="3:30" ht="27">
      <c r="C25" s="8"/>
      <c r="D25" s="2">
        <v>2020</v>
      </c>
      <c r="E25" s="9">
        <v>151.1</v>
      </c>
      <c r="F25" s="9">
        <v>159.9</v>
      </c>
      <c r="G25" s="9">
        <v>147</v>
      </c>
      <c r="H25" s="9">
        <v>123.8</v>
      </c>
      <c r="I25" s="9">
        <v>94.4</v>
      </c>
      <c r="J25" s="9">
        <v>141.19999999999999</v>
      </c>
      <c r="K25" s="9">
        <v>129.19999999999999</v>
      </c>
      <c r="L25" s="9">
        <v>115.7</v>
      </c>
      <c r="M25" s="9">
        <v>176.5</v>
      </c>
      <c r="N25" s="9">
        <v>148.6</v>
      </c>
      <c r="O25" s="9">
        <v>171.9</v>
      </c>
      <c r="P25" s="65">
        <v>137</v>
      </c>
      <c r="Q25" s="62"/>
      <c r="R25" s="28"/>
      <c r="S25" s="28"/>
      <c r="T25" s="28"/>
      <c r="U25" s="28"/>
      <c r="V25" s="28"/>
      <c r="W25" s="28"/>
      <c r="X25" s="28"/>
      <c r="Y25" s="32"/>
      <c r="Z25" s="29"/>
      <c r="AA25" s="29"/>
      <c r="AB25" s="29"/>
      <c r="AC25" s="59">
        <f>E25*R4+F25*S4+G25*T4+H25*U4+I25*V4+J25*W4+K25*X4+L25*Y4+M25*Z4+N25*AA4+O25*AB4</f>
        <v>150.19528</v>
      </c>
      <c r="AD25" s="2">
        <v>2020</v>
      </c>
    </row>
    <row r="26" spans="3:30" ht="27">
      <c r="C26" s="8"/>
      <c r="D26" s="2">
        <v>2021</v>
      </c>
      <c r="E26" s="9">
        <v>154.4</v>
      </c>
      <c r="F26" s="9">
        <v>164.9</v>
      </c>
      <c r="G26" s="9">
        <v>152.69999999999999</v>
      </c>
      <c r="H26" s="9">
        <v>125.2</v>
      </c>
      <c r="I26" s="9">
        <v>94.1</v>
      </c>
      <c r="J26" s="9">
        <v>151.4</v>
      </c>
      <c r="K26" s="9">
        <v>132.6</v>
      </c>
      <c r="L26" s="9">
        <v>117.9</v>
      </c>
      <c r="M26" s="9">
        <v>179.9</v>
      </c>
      <c r="N26" s="9">
        <v>150.1</v>
      </c>
      <c r="O26" s="9">
        <v>175</v>
      </c>
      <c r="P26" s="65">
        <v>141.6</v>
      </c>
      <c r="Q26" s="62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59">
        <f>E26*R4+F26*S4+G26*T4+H26*U4+I26*V4+J26*W4+K26*X4+L26*Y4+M26*Z4+N26*AA4+O26*AB4</f>
        <v>153.96541000000002</v>
      </c>
      <c r="AD26" s="2">
        <v>2021</v>
      </c>
    </row>
    <row r="27" spans="3:30">
      <c r="C27" s="8"/>
      <c r="R27" s="69"/>
      <c r="S27" s="69"/>
      <c r="T27" s="69"/>
      <c r="U27" s="7"/>
      <c r="V27" s="7"/>
      <c r="W27" s="7"/>
      <c r="X27" s="7"/>
      <c r="Y27" s="6"/>
      <c r="AC27" s="49"/>
    </row>
    <row r="28" spans="3:30">
      <c r="C28" s="8"/>
      <c r="R28" s="7"/>
      <c r="S28" s="7"/>
      <c r="T28" s="7"/>
      <c r="U28" s="7"/>
      <c r="V28" s="7"/>
      <c r="W28" s="7"/>
      <c r="X28" s="7"/>
      <c r="Y28" s="6"/>
      <c r="AC28" s="49"/>
    </row>
    <row r="29" spans="3:30">
      <c r="C29" s="8"/>
      <c r="N29" s="48" t="s">
        <v>52</v>
      </c>
      <c r="P29" s="60">
        <f>(P26/P7)^(1/(20-1))-1</f>
        <v>1.8475760967361587E-2</v>
      </c>
      <c r="S29" s="10"/>
      <c r="T29" s="10"/>
      <c r="U29" s="7"/>
      <c r="V29" s="7"/>
      <c r="W29" s="7"/>
      <c r="X29" s="7"/>
      <c r="Y29" s="46"/>
      <c r="Z29" s="47"/>
      <c r="AA29" s="48" t="s">
        <v>52</v>
      </c>
      <c r="AB29" s="47"/>
      <c r="AC29" s="60">
        <f>(AC26/AC7)^(1/(20-1))-1</f>
        <v>2.39244806461818E-2</v>
      </c>
    </row>
    <row r="30" spans="3:30">
      <c r="C30" s="8"/>
      <c r="S30" s="10"/>
      <c r="T30" s="10"/>
      <c r="U30" s="7"/>
      <c r="V30" s="7"/>
      <c r="W30" s="7"/>
      <c r="X30" s="7"/>
      <c r="Y30" s="6"/>
      <c r="AC30" s="49"/>
    </row>
    <row r="31" spans="3:30">
      <c r="C31" s="8"/>
      <c r="S31" s="10"/>
      <c r="T31" s="10"/>
      <c r="U31" s="7"/>
      <c r="V31" s="7"/>
      <c r="W31" s="7"/>
      <c r="X31" s="7"/>
      <c r="Y31" s="6"/>
      <c r="AC31" s="49"/>
    </row>
    <row r="32" spans="3:30">
      <c r="C32" s="8"/>
      <c r="S32" s="10"/>
      <c r="T32" s="10"/>
      <c r="U32" s="7"/>
      <c r="V32" s="7"/>
      <c r="W32" s="7"/>
      <c r="X32" s="7"/>
      <c r="Y32" s="6"/>
      <c r="AC32" s="49"/>
    </row>
    <row r="33" spans="3:29">
      <c r="C33" s="8"/>
      <c r="S33" s="10"/>
      <c r="T33" s="10"/>
      <c r="U33" s="7"/>
      <c r="V33" s="7"/>
      <c r="W33" s="7"/>
      <c r="X33" s="7"/>
      <c r="Y33" s="6"/>
      <c r="AC33" s="49"/>
    </row>
    <row r="34" spans="3:29">
      <c r="C34" s="8"/>
      <c r="S34" s="10"/>
      <c r="T34" s="10"/>
      <c r="U34" s="7"/>
      <c r="V34" s="7"/>
      <c r="W34" s="7"/>
      <c r="X34" s="7"/>
      <c r="Y34" s="6"/>
      <c r="AC34" s="47"/>
    </row>
    <row r="35" spans="3:29">
      <c r="C35" s="8"/>
      <c r="D35" s="11"/>
      <c r="S35" s="10"/>
      <c r="T35" s="10"/>
      <c r="U35" s="7"/>
      <c r="V35" s="7"/>
      <c r="W35" s="7"/>
      <c r="X35" s="7"/>
      <c r="Y35" s="6"/>
    </row>
    <row r="36" spans="3:29">
      <c r="C36" s="8"/>
      <c r="D36" s="11"/>
      <c r="S36" s="10"/>
      <c r="T36" s="10"/>
      <c r="U36" s="7"/>
      <c r="V36" s="7"/>
      <c r="W36" s="7"/>
      <c r="X36" s="7"/>
      <c r="Y36" s="6"/>
    </row>
    <row r="37" spans="3:29">
      <c r="C37" s="8"/>
      <c r="D37" s="11"/>
      <c r="S37" s="10"/>
      <c r="T37" s="10"/>
      <c r="U37" s="7"/>
      <c r="V37" s="7"/>
      <c r="W37" s="7"/>
      <c r="X37" s="7"/>
      <c r="Y37" s="6"/>
    </row>
    <row r="38" spans="3:29">
      <c r="C38" s="8"/>
      <c r="D38" s="11"/>
      <c r="S38" s="10"/>
      <c r="T38" s="10"/>
      <c r="U38" s="7"/>
      <c r="V38" s="7"/>
      <c r="W38" s="7"/>
      <c r="X38" s="7"/>
      <c r="Y38" s="6"/>
    </row>
    <row r="39" spans="3:29">
      <c r="C39" s="8"/>
      <c r="D39" s="11"/>
      <c r="S39" s="10"/>
      <c r="T39" s="10"/>
      <c r="U39" s="7"/>
      <c r="V39" s="7"/>
      <c r="W39" s="7"/>
      <c r="X39" s="7"/>
      <c r="Y39" s="6"/>
    </row>
    <row r="40" spans="3:29">
      <c r="C40" s="8"/>
      <c r="D40" s="11"/>
      <c r="S40" s="10"/>
      <c r="T40" s="10"/>
      <c r="U40" s="7"/>
      <c r="V40" s="7"/>
      <c r="W40" s="7"/>
      <c r="X40" s="7"/>
      <c r="Y40" s="6"/>
    </row>
    <row r="41" spans="3:29">
      <c r="C41" s="8"/>
      <c r="D41" s="11"/>
      <c r="S41" s="10"/>
      <c r="T41" s="10"/>
      <c r="U41" s="7"/>
      <c r="V41" s="7"/>
      <c r="W41" s="7"/>
      <c r="X41" s="7"/>
      <c r="Y41" s="6"/>
    </row>
    <row r="42" spans="3:29">
      <c r="C42" s="8"/>
      <c r="D42" s="11"/>
      <c r="S42" s="10"/>
      <c r="T42" s="10"/>
      <c r="U42" s="7"/>
      <c r="V42" s="7"/>
      <c r="W42" s="7"/>
      <c r="X42" s="7"/>
      <c r="Y42" s="6"/>
    </row>
    <row r="43" spans="3:29">
      <c r="C43" s="8"/>
      <c r="D43" s="11"/>
      <c r="S43" s="10"/>
      <c r="T43" s="10"/>
      <c r="U43" s="7"/>
      <c r="V43" s="7"/>
      <c r="W43" s="7"/>
      <c r="X43" s="7"/>
      <c r="Y43" s="6"/>
    </row>
    <row r="44" spans="3:29">
      <c r="C44" s="8"/>
      <c r="D44" s="11"/>
      <c r="S44" s="10"/>
      <c r="T44" s="10"/>
      <c r="U44" s="7"/>
      <c r="V44" s="7"/>
      <c r="W44" s="7"/>
      <c r="X44" s="7"/>
      <c r="Y44" s="6"/>
    </row>
    <row r="45" spans="3:29">
      <c r="C45" s="8"/>
      <c r="D45" s="11"/>
      <c r="S45" s="10"/>
      <c r="T45" s="10"/>
      <c r="U45" s="7"/>
      <c r="V45" s="7"/>
      <c r="W45" s="7"/>
      <c r="X45" s="7"/>
      <c r="Y45" s="6"/>
    </row>
    <row r="46" spans="3:29">
      <c r="C46" s="8"/>
      <c r="D46" s="11"/>
      <c r="S46" s="10"/>
      <c r="T46" s="10"/>
      <c r="U46" s="7"/>
      <c r="V46" s="7"/>
      <c r="W46" s="7"/>
      <c r="X46" s="7"/>
      <c r="Y46" s="6"/>
    </row>
    <row r="47" spans="3:29">
      <c r="C47" s="8"/>
      <c r="D47" s="11"/>
      <c r="R47" s="7"/>
      <c r="S47" s="7"/>
      <c r="T47" s="7"/>
      <c r="U47" s="7"/>
      <c r="V47" s="7"/>
      <c r="W47" s="7"/>
      <c r="X47" s="7"/>
      <c r="Y47" s="6"/>
    </row>
    <row r="48" spans="3:29">
      <c r="C48" s="8"/>
      <c r="R48" s="7"/>
      <c r="S48" s="7"/>
      <c r="T48" s="7"/>
      <c r="U48" s="7"/>
      <c r="V48" s="7"/>
      <c r="W48" s="7"/>
      <c r="X48" s="7"/>
      <c r="Y48" s="6"/>
    </row>
    <row r="49" spans="3:25">
      <c r="C49" s="8"/>
      <c r="R49" s="7"/>
      <c r="S49" s="7"/>
      <c r="T49" s="7"/>
      <c r="U49" s="7"/>
      <c r="V49" s="7"/>
      <c r="W49" s="7"/>
      <c r="X49" s="7"/>
      <c r="Y49" s="6"/>
    </row>
    <row r="50" spans="3:25">
      <c r="C50" s="8"/>
      <c r="R50" s="7"/>
      <c r="S50" s="7"/>
      <c r="T50" s="7"/>
      <c r="U50" s="7"/>
      <c r="V50" s="7"/>
      <c r="W50" s="7"/>
      <c r="X50" s="7"/>
      <c r="Y50" s="6"/>
    </row>
    <row r="51" spans="3:25">
      <c r="C51" s="8"/>
      <c r="R51" s="7"/>
      <c r="S51" s="7"/>
      <c r="T51" s="7"/>
      <c r="U51" s="7"/>
      <c r="V51" s="7"/>
      <c r="W51" s="7"/>
      <c r="X51" s="7"/>
      <c r="Y51" s="6"/>
    </row>
    <row r="52" spans="3:25">
      <c r="C52" s="8"/>
      <c r="R52" s="7"/>
      <c r="S52" s="7"/>
      <c r="T52" s="7"/>
      <c r="U52" s="7"/>
      <c r="V52" s="7"/>
      <c r="W52" s="7"/>
      <c r="X52" s="7"/>
      <c r="Y52" s="6"/>
    </row>
    <row r="53" spans="3:25">
      <c r="C53" s="8"/>
      <c r="R53" s="7"/>
      <c r="S53" s="7"/>
      <c r="T53" s="7"/>
      <c r="U53" s="7"/>
      <c r="V53" s="7"/>
      <c r="W53" s="7"/>
      <c r="X53" s="7"/>
      <c r="Y53" s="6"/>
    </row>
    <row r="54" spans="3:25">
      <c r="C54" s="8"/>
      <c r="R54" s="7"/>
      <c r="S54" s="7"/>
      <c r="T54" s="7"/>
      <c r="U54" s="7"/>
      <c r="V54" s="7"/>
      <c r="W54" s="7"/>
      <c r="X54" s="7"/>
      <c r="Y54" s="6"/>
    </row>
    <row r="55" spans="3:25">
      <c r="C55" s="8"/>
      <c r="R55" s="7"/>
      <c r="S55" s="7"/>
      <c r="T55" s="7"/>
      <c r="U55" s="7"/>
      <c r="V55" s="7"/>
      <c r="W55" s="7"/>
      <c r="X55" s="7"/>
      <c r="Y55" s="6"/>
    </row>
    <row r="56" spans="3:25">
      <c r="C56" s="8"/>
      <c r="R56" s="7"/>
      <c r="S56" s="7"/>
      <c r="T56" s="7"/>
      <c r="U56" s="7"/>
      <c r="V56" s="7"/>
      <c r="W56" s="7"/>
      <c r="X56" s="7"/>
      <c r="Y56" s="6"/>
    </row>
    <row r="57" spans="3:25">
      <c r="C57" s="8"/>
      <c r="R57" s="7"/>
      <c r="S57" s="7"/>
      <c r="T57" s="7"/>
      <c r="U57" s="7"/>
      <c r="V57" s="7"/>
      <c r="W57" s="7"/>
      <c r="X57" s="7"/>
      <c r="Y57" s="6"/>
    </row>
    <row r="58" spans="3:25">
      <c r="C58" s="8"/>
      <c r="R58" s="7"/>
      <c r="S58" s="7"/>
      <c r="T58" s="7"/>
      <c r="U58" s="7"/>
      <c r="V58" s="7"/>
      <c r="W58" s="7"/>
      <c r="X58" s="7"/>
      <c r="Y58" s="6"/>
    </row>
    <row r="59" spans="3:25">
      <c r="C59" s="8"/>
      <c r="R59" s="7"/>
      <c r="S59" s="7"/>
      <c r="T59" s="7"/>
      <c r="U59" s="7"/>
      <c r="V59" s="7"/>
      <c r="W59" s="7"/>
      <c r="X59" s="7"/>
      <c r="Y59" s="6"/>
    </row>
    <row r="60" spans="3:25">
      <c r="C60" s="8"/>
      <c r="R60" s="7"/>
      <c r="S60" s="7"/>
      <c r="T60" s="7"/>
      <c r="U60" s="7"/>
      <c r="V60" s="7"/>
      <c r="W60" s="7"/>
      <c r="X60" s="7"/>
      <c r="Y60" s="6"/>
    </row>
    <row r="61" spans="3:25">
      <c r="C61" s="8"/>
      <c r="R61" s="7"/>
      <c r="S61" s="7"/>
      <c r="T61" s="7"/>
      <c r="U61" s="7"/>
      <c r="V61" s="7"/>
      <c r="W61" s="7"/>
      <c r="X61" s="7"/>
      <c r="Y61" s="6"/>
    </row>
    <row r="62" spans="3:25">
      <c r="C62" s="8"/>
      <c r="R62" s="7"/>
      <c r="S62" s="7"/>
      <c r="T62" s="7"/>
      <c r="U62" s="7"/>
      <c r="V62" s="7"/>
      <c r="W62" s="7"/>
      <c r="X62" s="7"/>
      <c r="Y62" s="6"/>
    </row>
    <row r="63" spans="3:25">
      <c r="C63" s="8"/>
      <c r="R63" s="7"/>
      <c r="S63" s="7"/>
      <c r="T63" s="7"/>
      <c r="U63" s="7"/>
      <c r="V63" s="7"/>
      <c r="W63" s="7"/>
      <c r="X63" s="7"/>
      <c r="Y63" s="6"/>
    </row>
    <row r="64" spans="3:25">
      <c r="C64" s="8"/>
      <c r="R64" s="7"/>
      <c r="S64" s="7"/>
      <c r="T64" s="7"/>
      <c r="U64" s="7"/>
      <c r="V64" s="7"/>
      <c r="W64" s="7"/>
      <c r="X64" s="7"/>
      <c r="Y64" s="6"/>
    </row>
    <row r="65" spans="3:25">
      <c r="C65" s="8"/>
      <c r="R65" s="7"/>
      <c r="S65" s="7"/>
      <c r="T65" s="7"/>
      <c r="U65" s="7"/>
      <c r="V65" s="7"/>
      <c r="W65" s="7"/>
      <c r="X65" s="7"/>
      <c r="Y65" s="6"/>
    </row>
    <row r="66" spans="3:25">
      <c r="C66" s="8"/>
      <c r="R66" s="7"/>
      <c r="S66" s="7"/>
      <c r="T66" s="7"/>
      <c r="U66" s="7"/>
      <c r="V66" s="7"/>
      <c r="W66" s="7"/>
      <c r="X66" s="7"/>
      <c r="Y66" s="6"/>
    </row>
    <row r="67" spans="3:25">
      <c r="C67" s="8"/>
      <c r="R67" s="7"/>
      <c r="S67" s="7"/>
      <c r="T67" s="7"/>
      <c r="U67" s="7"/>
      <c r="V67" s="7"/>
      <c r="W67" s="7"/>
      <c r="X67" s="7"/>
      <c r="Y67" s="6"/>
    </row>
    <row r="68" spans="3:25">
      <c r="C68" s="8"/>
      <c r="R68" s="7"/>
      <c r="S68" s="7"/>
      <c r="T68" s="7"/>
      <c r="U68" s="7"/>
      <c r="V68" s="7"/>
      <c r="W68" s="7"/>
      <c r="X68" s="7"/>
      <c r="Y68" s="6"/>
    </row>
    <row r="69" spans="3:25">
      <c r="C69" s="8"/>
      <c r="R69" s="7"/>
      <c r="S69" s="7"/>
      <c r="T69" s="7"/>
      <c r="U69" s="7"/>
      <c r="V69" s="7"/>
      <c r="W69" s="7"/>
      <c r="X69" s="7"/>
      <c r="Y69" s="6"/>
    </row>
    <row r="70" spans="3:25">
      <c r="C70" s="8"/>
      <c r="R70" s="7"/>
      <c r="S70" s="7"/>
      <c r="T70" s="7"/>
      <c r="U70" s="7"/>
      <c r="V70" s="7"/>
      <c r="W70" s="7"/>
      <c r="X70" s="7"/>
      <c r="Y70" s="6"/>
    </row>
    <row r="71" spans="3:25">
      <c r="C71" s="8"/>
      <c r="R71" s="7"/>
      <c r="S71" s="7"/>
      <c r="T71" s="7"/>
      <c r="U71" s="7"/>
      <c r="V71" s="7"/>
      <c r="W71" s="7"/>
      <c r="X71" s="7"/>
      <c r="Y71" s="6"/>
    </row>
    <row r="72" spans="3:25">
      <c r="C72" s="8"/>
      <c r="R72" s="7"/>
      <c r="S72" s="7"/>
      <c r="T72" s="7"/>
      <c r="U72" s="7"/>
      <c r="V72" s="7"/>
      <c r="W72" s="7"/>
      <c r="X72" s="7"/>
      <c r="Y72" s="6"/>
    </row>
    <row r="73" spans="3:25">
      <c r="C73" s="8"/>
      <c r="R73" s="7"/>
      <c r="S73" s="7"/>
      <c r="T73" s="7"/>
      <c r="U73" s="7"/>
      <c r="V73" s="7"/>
      <c r="W73" s="7"/>
      <c r="X73" s="7"/>
      <c r="Y73" s="6"/>
    </row>
    <row r="74" spans="3:25">
      <c r="C74" s="8"/>
      <c r="R74" s="7"/>
      <c r="S74" s="7"/>
      <c r="T74" s="7"/>
      <c r="U74" s="7"/>
      <c r="V74" s="7"/>
      <c r="W74" s="7"/>
      <c r="X74" s="7"/>
      <c r="Y74" s="6"/>
    </row>
    <row r="75" spans="3:25">
      <c r="C75" s="8"/>
      <c r="R75" s="7"/>
      <c r="S75" s="7"/>
      <c r="T75" s="7"/>
      <c r="U75" s="7"/>
      <c r="V75" s="7"/>
      <c r="W75" s="7"/>
      <c r="X75" s="7"/>
      <c r="Y75" s="6"/>
    </row>
    <row r="76" spans="3:25">
      <c r="C76" s="8"/>
      <c r="R76" s="7"/>
      <c r="S76" s="7"/>
      <c r="T76" s="7"/>
      <c r="U76" s="7"/>
      <c r="V76" s="7"/>
      <c r="W76" s="7"/>
      <c r="X76" s="7"/>
      <c r="Y76" s="6"/>
    </row>
    <row r="77" spans="3:25">
      <c r="C77" s="8"/>
      <c r="R77" s="7"/>
      <c r="S77" s="7"/>
      <c r="T77" s="7"/>
      <c r="U77" s="7"/>
      <c r="V77" s="7"/>
      <c r="W77" s="7"/>
      <c r="X77" s="7"/>
      <c r="Y77" s="6"/>
    </row>
    <row r="78" spans="3:25">
      <c r="C78" s="8"/>
      <c r="R78" s="7"/>
      <c r="S78" s="7"/>
      <c r="T78" s="7"/>
      <c r="U78" s="7"/>
      <c r="V78" s="7"/>
      <c r="W78" s="7"/>
      <c r="X78" s="7"/>
      <c r="Y78" s="6"/>
    </row>
    <row r="79" spans="3:25">
      <c r="C79" s="8"/>
      <c r="R79" s="7"/>
      <c r="S79" s="7"/>
      <c r="T79" s="7"/>
      <c r="U79" s="7"/>
      <c r="V79" s="7"/>
      <c r="W79" s="7"/>
      <c r="X79" s="7"/>
      <c r="Y79" s="6"/>
    </row>
    <row r="80" spans="3:25">
      <c r="C80" s="8"/>
      <c r="R80" s="7"/>
      <c r="S80" s="7"/>
      <c r="T80" s="7"/>
      <c r="U80" s="7"/>
      <c r="V80" s="7"/>
      <c r="W80" s="7"/>
      <c r="X80" s="7"/>
      <c r="Y80" s="6"/>
    </row>
    <row r="81" spans="3:25">
      <c r="C81" s="8"/>
      <c r="R81" s="7"/>
      <c r="S81" s="7"/>
      <c r="T81" s="7"/>
      <c r="U81" s="7"/>
      <c r="V81" s="7"/>
      <c r="W81" s="7"/>
      <c r="X81" s="7"/>
      <c r="Y81" s="6"/>
    </row>
    <row r="82" spans="3:25">
      <c r="C82" s="8"/>
      <c r="R82" s="7"/>
      <c r="S82" s="7"/>
      <c r="T82" s="7"/>
      <c r="U82" s="7"/>
      <c r="V82" s="7"/>
      <c r="W82" s="7"/>
      <c r="X82" s="7"/>
      <c r="Y82" s="6"/>
    </row>
    <row r="83" spans="3:25">
      <c r="C83" s="8"/>
      <c r="R83" s="7"/>
      <c r="S83" s="7"/>
      <c r="T83" s="7"/>
      <c r="U83" s="7"/>
      <c r="V83" s="7"/>
      <c r="W83" s="7"/>
      <c r="X83" s="7"/>
      <c r="Y83" s="6"/>
    </row>
    <row r="84" spans="3:25">
      <c r="C84" s="8"/>
      <c r="R84" s="7"/>
      <c r="S84" s="7"/>
      <c r="T84" s="7"/>
      <c r="U84" s="7"/>
      <c r="V84" s="7"/>
      <c r="W84" s="7"/>
      <c r="X84" s="7"/>
      <c r="Y84" s="6"/>
    </row>
    <row r="85" spans="3:25">
      <c r="C85" s="8"/>
      <c r="R85" s="7"/>
      <c r="S85" s="7"/>
      <c r="T85" s="7"/>
      <c r="U85" s="7"/>
      <c r="V85" s="7"/>
      <c r="W85" s="7"/>
      <c r="X85" s="7"/>
      <c r="Y85" s="6"/>
    </row>
    <row r="86" spans="3:25">
      <c r="C86" s="8"/>
      <c r="R86" s="7"/>
      <c r="S86" s="7"/>
      <c r="T86" s="7"/>
      <c r="U86" s="7"/>
      <c r="V86" s="7"/>
      <c r="W86" s="7"/>
      <c r="X86" s="7"/>
      <c r="Y86" s="6"/>
    </row>
    <row r="87" spans="3:25">
      <c r="C87" s="8"/>
      <c r="R87" s="7"/>
      <c r="S87" s="7"/>
      <c r="T87" s="7"/>
      <c r="U87" s="7"/>
      <c r="V87" s="7"/>
      <c r="W87" s="7"/>
      <c r="X87" s="7"/>
      <c r="Y87" s="6"/>
    </row>
    <row r="88" spans="3:25">
      <c r="C88" s="8"/>
      <c r="R88" s="7"/>
      <c r="S88" s="7"/>
      <c r="T88" s="7"/>
      <c r="U88" s="7"/>
      <c r="V88" s="7"/>
      <c r="W88" s="7"/>
      <c r="X88" s="7"/>
      <c r="Y88" s="6"/>
    </row>
    <row r="89" spans="3:25">
      <c r="C89" s="8"/>
      <c r="R89" s="7"/>
      <c r="S89" s="7"/>
      <c r="T89" s="7"/>
      <c r="U89" s="7"/>
      <c r="V89" s="7"/>
      <c r="W89" s="7"/>
      <c r="X89" s="7"/>
      <c r="Y89" s="6"/>
    </row>
    <row r="90" spans="3:25">
      <c r="C90" s="8"/>
      <c r="R90" s="7"/>
      <c r="S90" s="7"/>
      <c r="T90" s="7"/>
      <c r="U90" s="7"/>
      <c r="V90" s="7"/>
      <c r="W90" s="7"/>
      <c r="X90" s="7"/>
      <c r="Y90" s="6"/>
    </row>
    <row r="91" spans="3:25">
      <c r="C91" s="8"/>
      <c r="R91" s="7"/>
      <c r="S91" s="7"/>
      <c r="T91" s="7"/>
      <c r="U91" s="7"/>
      <c r="V91" s="7"/>
      <c r="W91" s="7"/>
      <c r="X91" s="7"/>
      <c r="Y91" s="6"/>
    </row>
    <row r="92" spans="3:25">
      <c r="C92" s="8"/>
      <c r="R92" s="7"/>
      <c r="S92" s="7"/>
      <c r="T92" s="7"/>
      <c r="U92" s="7"/>
      <c r="V92" s="7"/>
      <c r="W92" s="7"/>
      <c r="X92" s="7"/>
      <c r="Y92" s="6"/>
    </row>
    <row r="93" spans="3:25">
      <c r="C93" s="8"/>
      <c r="R93" s="7"/>
      <c r="S93" s="7"/>
      <c r="T93" s="7"/>
      <c r="U93" s="7"/>
      <c r="V93" s="7"/>
      <c r="W93" s="7"/>
      <c r="X93" s="7"/>
      <c r="Y93" s="6"/>
    </row>
    <row r="94" spans="3:25">
      <c r="C94" s="8"/>
      <c r="R94" s="7"/>
      <c r="S94" s="7"/>
      <c r="T94" s="7"/>
      <c r="U94" s="7"/>
      <c r="V94" s="7"/>
      <c r="W94" s="7"/>
      <c r="X94" s="7"/>
      <c r="Y94" s="6"/>
    </row>
    <row r="95" spans="3:25">
      <c r="C95" s="8"/>
      <c r="R95" s="7"/>
      <c r="S95" s="7"/>
      <c r="T95" s="7"/>
      <c r="U95" s="7"/>
      <c r="V95" s="7"/>
      <c r="W95" s="7"/>
      <c r="X95" s="7"/>
      <c r="Y95" s="6"/>
    </row>
    <row r="96" spans="3:25">
      <c r="C96" s="8"/>
      <c r="R96" s="7"/>
      <c r="S96" s="7"/>
      <c r="T96" s="7"/>
      <c r="U96" s="7"/>
      <c r="V96" s="7"/>
      <c r="W96" s="7"/>
      <c r="X96" s="7"/>
      <c r="Y96" s="6"/>
    </row>
    <row r="97" spans="3:25">
      <c r="C97" s="8"/>
      <c r="R97" s="7"/>
      <c r="S97" s="7"/>
      <c r="T97" s="7"/>
      <c r="U97" s="7"/>
      <c r="V97" s="7"/>
      <c r="W97" s="7"/>
      <c r="X97" s="7"/>
      <c r="Y97" s="6"/>
    </row>
    <row r="98" spans="3:25">
      <c r="C98" s="8"/>
      <c r="R98" s="7"/>
      <c r="S98" s="7"/>
      <c r="T98" s="7"/>
      <c r="U98" s="7"/>
      <c r="V98" s="7"/>
      <c r="W98" s="7"/>
      <c r="X98" s="7"/>
      <c r="Y98" s="6"/>
    </row>
    <row r="99" spans="3:25">
      <c r="C99" s="8"/>
      <c r="R99" s="7"/>
      <c r="S99" s="7"/>
      <c r="T99" s="7"/>
      <c r="U99" s="7"/>
      <c r="V99" s="7"/>
      <c r="W99" s="7"/>
      <c r="X99" s="7"/>
      <c r="Y99" s="6"/>
    </row>
    <row r="100" spans="3:25">
      <c r="C100" s="8"/>
      <c r="R100" s="7"/>
      <c r="S100" s="7"/>
      <c r="T100" s="7"/>
      <c r="U100" s="7"/>
      <c r="V100" s="7"/>
      <c r="W100" s="7"/>
      <c r="X100" s="7"/>
      <c r="Y100" s="6"/>
    </row>
    <row r="101" spans="3:25">
      <c r="C101" s="8"/>
      <c r="R101" s="7"/>
      <c r="S101" s="7"/>
      <c r="T101" s="7"/>
      <c r="U101" s="7"/>
      <c r="V101" s="7"/>
      <c r="W101" s="7"/>
      <c r="X101" s="7"/>
      <c r="Y101" s="6"/>
    </row>
    <row r="102" spans="3:25">
      <c r="C102" s="8"/>
      <c r="R102" s="7"/>
      <c r="S102" s="7"/>
      <c r="T102" s="7"/>
      <c r="U102" s="7"/>
      <c r="V102" s="7"/>
      <c r="W102" s="7"/>
      <c r="X102" s="7"/>
      <c r="Y102" s="6"/>
    </row>
    <row r="103" spans="3:25">
      <c r="C103" s="8"/>
      <c r="R103" s="7"/>
      <c r="S103" s="7"/>
      <c r="T103" s="7"/>
      <c r="U103" s="7"/>
      <c r="V103" s="7"/>
      <c r="W103" s="7"/>
      <c r="X103" s="7"/>
      <c r="Y103" s="6"/>
    </row>
    <row r="104" spans="3:25">
      <c r="C104" s="8"/>
      <c r="R104" s="7"/>
      <c r="S104" s="7"/>
      <c r="T104" s="7"/>
      <c r="U104" s="7"/>
      <c r="V104" s="7"/>
      <c r="W104" s="7"/>
      <c r="X104" s="7"/>
      <c r="Y104" s="6"/>
    </row>
    <row r="105" spans="3:25">
      <c r="C105" s="8"/>
      <c r="R105" s="7"/>
      <c r="S105" s="7"/>
      <c r="T105" s="7"/>
      <c r="U105" s="7"/>
      <c r="V105" s="7"/>
      <c r="W105" s="7"/>
      <c r="X105" s="7"/>
      <c r="Y105" s="6"/>
    </row>
    <row r="106" spans="3:25">
      <c r="C106" s="8"/>
      <c r="R106" s="7"/>
      <c r="S106" s="7"/>
      <c r="T106" s="7"/>
      <c r="U106" s="7"/>
      <c r="V106" s="7"/>
      <c r="W106" s="7"/>
      <c r="X106" s="7"/>
      <c r="Y106" s="6"/>
    </row>
    <row r="107" spans="3:25">
      <c r="C107" s="8"/>
      <c r="R107" s="7"/>
      <c r="S107" s="7"/>
      <c r="T107" s="7"/>
      <c r="U107" s="7"/>
      <c r="V107" s="7"/>
      <c r="W107" s="7"/>
      <c r="X107" s="7"/>
      <c r="Y107" s="6"/>
    </row>
    <row r="108" spans="3:25">
      <c r="C108" s="8"/>
      <c r="R108" s="7"/>
      <c r="S108" s="7"/>
      <c r="T108" s="7"/>
      <c r="U108" s="7"/>
      <c r="V108" s="7"/>
      <c r="W108" s="7"/>
      <c r="X108" s="7"/>
      <c r="Y108" s="6"/>
    </row>
    <row r="109" spans="3:25">
      <c r="C109" s="8"/>
      <c r="R109" s="7"/>
      <c r="S109" s="7"/>
      <c r="T109" s="7"/>
      <c r="U109" s="7"/>
      <c r="V109" s="7"/>
      <c r="W109" s="7"/>
      <c r="X109" s="7"/>
      <c r="Y109" s="6"/>
    </row>
    <row r="110" spans="3:25">
      <c r="C110" s="8"/>
      <c r="R110" s="7"/>
      <c r="S110" s="7"/>
      <c r="T110" s="7"/>
      <c r="U110" s="7"/>
      <c r="V110" s="7"/>
      <c r="W110" s="7"/>
      <c r="X110" s="7"/>
      <c r="Y110" s="6"/>
    </row>
    <row r="111" spans="3:25">
      <c r="C111" s="8"/>
      <c r="R111" s="7"/>
      <c r="S111" s="7"/>
      <c r="T111" s="7"/>
      <c r="U111" s="7"/>
      <c r="V111" s="7"/>
      <c r="W111" s="7"/>
      <c r="X111" s="7"/>
      <c r="Y111" s="6"/>
    </row>
    <row r="112" spans="3:25">
      <c r="C112" s="8"/>
      <c r="R112" s="7"/>
      <c r="S112" s="7"/>
      <c r="T112" s="7"/>
      <c r="U112" s="7"/>
      <c r="V112" s="7"/>
      <c r="W112" s="7"/>
      <c r="X112" s="7"/>
      <c r="Y112" s="6"/>
    </row>
    <row r="113" spans="3:25">
      <c r="C113" s="8"/>
      <c r="R113" s="7"/>
      <c r="S113" s="7"/>
      <c r="T113" s="7"/>
      <c r="U113" s="7"/>
      <c r="V113" s="7"/>
      <c r="W113" s="7"/>
      <c r="X113" s="7"/>
      <c r="Y113" s="6"/>
    </row>
    <row r="114" spans="3:25">
      <c r="C114" s="8"/>
      <c r="R114" s="7"/>
      <c r="S114" s="7"/>
      <c r="T114" s="7"/>
      <c r="U114" s="7"/>
      <c r="V114" s="7"/>
      <c r="W114" s="7"/>
      <c r="X114" s="7"/>
      <c r="Y114" s="6"/>
    </row>
    <row r="115" spans="3:25">
      <c r="C115" s="8"/>
      <c r="R115" s="7"/>
      <c r="S115" s="7"/>
      <c r="T115" s="7"/>
      <c r="U115" s="7"/>
      <c r="V115" s="7"/>
      <c r="W115" s="7"/>
      <c r="X115" s="7"/>
      <c r="Y115" s="6"/>
    </row>
    <row r="116" spans="3:25">
      <c r="C116" s="8"/>
      <c r="R116" s="7"/>
      <c r="S116" s="7"/>
      <c r="T116" s="7"/>
      <c r="U116" s="7"/>
      <c r="V116" s="7"/>
      <c r="W116" s="7"/>
      <c r="X116" s="7"/>
      <c r="Y116" s="6"/>
    </row>
    <row r="117" spans="3:25">
      <c r="C117" s="8"/>
      <c r="R117" s="7"/>
      <c r="S117" s="7"/>
      <c r="T117" s="7"/>
      <c r="U117" s="7"/>
      <c r="V117" s="7"/>
      <c r="W117" s="7"/>
      <c r="X117" s="7"/>
      <c r="Y117" s="6"/>
    </row>
    <row r="118" spans="3:25">
      <c r="C118" s="8"/>
      <c r="R118" s="7"/>
      <c r="S118" s="7"/>
      <c r="T118" s="7"/>
      <c r="U118" s="7"/>
      <c r="V118" s="7"/>
      <c r="W118" s="7"/>
      <c r="X118" s="7"/>
      <c r="Y118" s="6"/>
    </row>
    <row r="119" spans="3:25">
      <c r="C119" s="8"/>
      <c r="R119" s="7"/>
      <c r="S119" s="7"/>
      <c r="T119" s="7"/>
      <c r="U119" s="7"/>
      <c r="V119" s="7"/>
      <c r="W119" s="7"/>
      <c r="X119" s="7"/>
      <c r="Y119" s="6"/>
    </row>
    <row r="120" spans="3:25">
      <c r="C120" s="8"/>
      <c r="R120" s="7"/>
      <c r="S120" s="7"/>
      <c r="T120" s="7"/>
      <c r="U120" s="7"/>
      <c r="V120" s="7"/>
      <c r="W120" s="7"/>
      <c r="X120" s="7"/>
      <c r="Y120" s="6"/>
    </row>
    <row r="121" spans="3:25">
      <c r="C121" s="8"/>
      <c r="R121" s="7"/>
      <c r="S121" s="7"/>
      <c r="T121" s="7"/>
      <c r="U121" s="7"/>
      <c r="V121" s="7"/>
      <c r="W121" s="7"/>
      <c r="X121" s="7"/>
      <c r="Y121" s="6"/>
    </row>
    <row r="122" spans="3:25">
      <c r="C122" s="8"/>
      <c r="R122" s="7"/>
      <c r="S122" s="7"/>
      <c r="T122" s="7"/>
      <c r="U122" s="7"/>
      <c r="V122" s="7"/>
      <c r="W122" s="7"/>
      <c r="X122" s="7"/>
      <c r="Y122" s="6"/>
    </row>
    <row r="123" spans="3:25">
      <c r="C123" s="8"/>
      <c r="R123" s="7"/>
      <c r="S123" s="7"/>
      <c r="T123" s="7"/>
      <c r="U123" s="7"/>
      <c r="V123" s="7"/>
      <c r="W123" s="7"/>
      <c r="X123" s="7"/>
      <c r="Y123" s="6"/>
    </row>
    <row r="124" spans="3:25">
      <c r="C124" s="8"/>
      <c r="R124" s="7"/>
      <c r="S124" s="7"/>
      <c r="T124" s="7"/>
      <c r="U124" s="7"/>
      <c r="V124" s="7"/>
      <c r="W124" s="7"/>
      <c r="X124" s="7"/>
      <c r="Y124" s="6"/>
    </row>
    <row r="125" spans="3:25">
      <c r="C125" s="8"/>
      <c r="R125" s="7"/>
      <c r="S125" s="7"/>
      <c r="T125" s="7"/>
      <c r="U125" s="7"/>
      <c r="V125" s="7"/>
      <c r="W125" s="7"/>
      <c r="X125" s="7"/>
      <c r="Y125" s="6"/>
    </row>
    <row r="126" spans="3:25">
      <c r="C126" s="8"/>
      <c r="R126" s="7"/>
      <c r="S126" s="7"/>
      <c r="T126" s="7"/>
      <c r="U126" s="7"/>
      <c r="V126" s="7"/>
      <c r="W126" s="7"/>
      <c r="X126" s="7"/>
      <c r="Y126" s="6"/>
    </row>
    <row r="127" spans="3:25">
      <c r="C127" s="8"/>
      <c r="R127" s="7"/>
      <c r="S127" s="7"/>
      <c r="T127" s="7"/>
      <c r="U127" s="7"/>
      <c r="V127" s="7"/>
      <c r="W127" s="7"/>
      <c r="X127" s="7"/>
      <c r="Y127" s="6"/>
    </row>
    <row r="128" spans="3:25">
      <c r="C128" s="8"/>
      <c r="R128" s="7"/>
      <c r="S128" s="7"/>
      <c r="T128" s="7"/>
      <c r="U128" s="7"/>
      <c r="V128" s="7"/>
      <c r="W128" s="7"/>
      <c r="X128" s="7"/>
      <c r="Y128" s="6"/>
    </row>
    <row r="129" spans="3:25">
      <c r="C129" s="8"/>
      <c r="R129" s="7"/>
      <c r="S129" s="7"/>
      <c r="T129" s="7"/>
      <c r="U129" s="7"/>
      <c r="V129" s="7"/>
      <c r="W129" s="7"/>
      <c r="X129" s="7"/>
      <c r="Y129" s="6"/>
    </row>
    <row r="130" spans="3:25">
      <c r="C130" s="8"/>
      <c r="R130" s="7"/>
      <c r="S130" s="7"/>
      <c r="T130" s="7"/>
      <c r="U130" s="7"/>
      <c r="V130" s="7"/>
      <c r="W130" s="7"/>
      <c r="X130" s="7"/>
      <c r="Y130" s="6"/>
    </row>
    <row r="131" spans="3:25">
      <c r="C131" s="8"/>
      <c r="R131" s="7"/>
      <c r="S131" s="7"/>
      <c r="T131" s="7"/>
      <c r="U131" s="7"/>
      <c r="V131" s="7"/>
      <c r="W131" s="7"/>
      <c r="X131" s="7"/>
      <c r="Y131" s="6"/>
    </row>
    <row r="132" spans="3:25">
      <c r="C132" s="8"/>
      <c r="R132" s="7"/>
      <c r="S132" s="7"/>
      <c r="T132" s="7"/>
      <c r="U132" s="7"/>
      <c r="V132" s="7"/>
      <c r="W132" s="7"/>
      <c r="X132" s="7"/>
      <c r="Y132" s="6"/>
    </row>
    <row r="133" spans="3:25">
      <c r="C133" s="8"/>
      <c r="R133" s="7"/>
      <c r="S133" s="7"/>
      <c r="T133" s="7"/>
      <c r="U133" s="7"/>
      <c r="V133" s="7"/>
      <c r="W133" s="7"/>
      <c r="X133" s="7"/>
      <c r="Y133" s="6"/>
    </row>
    <row r="134" spans="3:25">
      <c r="C134" s="8"/>
      <c r="R134" s="7"/>
      <c r="S134" s="7"/>
      <c r="T134" s="7"/>
      <c r="U134" s="7"/>
      <c r="V134" s="7"/>
      <c r="W134" s="7"/>
      <c r="X134" s="7"/>
      <c r="Y134" s="6"/>
    </row>
    <row r="135" spans="3:25">
      <c r="C135" s="8"/>
      <c r="R135" s="7"/>
      <c r="S135" s="7"/>
      <c r="T135" s="7"/>
      <c r="U135" s="7"/>
      <c r="V135" s="7"/>
      <c r="W135" s="7"/>
      <c r="X135" s="7"/>
      <c r="Y135" s="6"/>
    </row>
    <row r="136" spans="3:25">
      <c r="C136" s="8"/>
      <c r="R136" s="7"/>
      <c r="S136" s="7"/>
      <c r="T136" s="7"/>
      <c r="U136" s="7"/>
      <c r="V136" s="7"/>
      <c r="W136" s="7"/>
      <c r="X136" s="7"/>
      <c r="Y136" s="6"/>
    </row>
    <row r="137" spans="3:25">
      <c r="C137" s="8"/>
      <c r="R137" s="7"/>
      <c r="S137" s="7"/>
      <c r="T137" s="7"/>
      <c r="U137" s="7"/>
      <c r="V137" s="7"/>
      <c r="W137" s="7"/>
      <c r="X137" s="7"/>
      <c r="Y137" s="6"/>
    </row>
    <row r="138" spans="3:25">
      <c r="C138" s="8"/>
      <c r="R138" s="7"/>
      <c r="S138" s="7"/>
      <c r="T138" s="7"/>
      <c r="U138" s="7"/>
      <c r="V138" s="7"/>
      <c r="W138" s="7"/>
      <c r="X138" s="7"/>
      <c r="Y138" s="6"/>
    </row>
    <row r="139" spans="3:25">
      <c r="C139" s="8"/>
      <c r="R139" s="7"/>
      <c r="S139" s="7"/>
      <c r="T139" s="7"/>
      <c r="U139" s="7"/>
      <c r="V139" s="7"/>
      <c r="W139" s="7"/>
      <c r="X139" s="7"/>
      <c r="Y139" s="6"/>
    </row>
    <row r="140" spans="3:25">
      <c r="C140" s="8"/>
      <c r="R140" s="7"/>
      <c r="S140" s="7"/>
      <c r="T140" s="7"/>
      <c r="U140" s="7"/>
      <c r="V140" s="7"/>
      <c r="W140" s="7"/>
      <c r="X140" s="7"/>
      <c r="Y140" s="6"/>
    </row>
    <row r="141" spans="3:25">
      <c r="C141" s="8"/>
      <c r="R141" s="7"/>
      <c r="S141" s="7"/>
      <c r="T141" s="7"/>
      <c r="U141" s="7"/>
      <c r="V141" s="7"/>
      <c r="W141" s="7"/>
      <c r="X141" s="7"/>
      <c r="Y141" s="6"/>
    </row>
    <row r="142" spans="3:25">
      <c r="C142" s="8"/>
      <c r="R142" s="7"/>
      <c r="S142" s="7"/>
      <c r="T142" s="7"/>
      <c r="U142" s="7"/>
      <c r="V142" s="7"/>
      <c r="W142" s="7"/>
      <c r="X142" s="7"/>
      <c r="Y142" s="6"/>
    </row>
    <row r="143" spans="3:25">
      <c r="C143" s="8"/>
      <c r="R143" s="7"/>
      <c r="S143" s="7"/>
      <c r="T143" s="7"/>
      <c r="U143" s="7"/>
      <c r="V143" s="7"/>
      <c r="W143" s="7"/>
      <c r="X143" s="7"/>
      <c r="Y143" s="6"/>
    </row>
    <row r="144" spans="3:25">
      <c r="C144" s="8"/>
      <c r="R144" s="7"/>
      <c r="S144" s="7"/>
      <c r="T144" s="7"/>
      <c r="U144" s="7"/>
      <c r="V144" s="7"/>
      <c r="W144" s="7"/>
      <c r="X144" s="7"/>
      <c r="Y144" s="6"/>
    </row>
    <row r="145" spans="3:25">
      <c r="C145" s="8"/>
      <c r="R145" s="7"/>
      <c r="S145" s="7"/>
      <c r="T145" s="7"/>
      <c r="U145" s="7"/>
      <c r="V145" s="7"/>
      <c r="W145" s="7"/>
      <c r="X145" s="7"/>
      <c r="Y145" s="6"/>
    </row>
    <row r="146" spans="3:25">
      <c r="C146" s="8"/>
      <c r="R146" s="7"/>
      <c r="S146" s="7"/>
      <c r="T146" s="7"/>
      <c r="U146" s="7"/>
      <c r="V146" s="7"/>
      <c r="W146" s="7"/>
      <c r="X146" s="7"/>
      <c r="Y146" s="6"/>
    </row>
    <row r="147" spans="3:25">
      <c r="C147" s="8"/>
      <c r="R147" s="7"/>
      <c r="S147" s="7"/>
      <c r="T147" s="7"/>
      <c r="U147" s="7"/>
      <c r="V147" s="7"/>
      <c r="W147" s="7"/>
      <c r="X147" s="7"/>
      <c r="Y147" s="6"/>
    </row>
    <row r="148" spans="3:25">
      <c r="C148" s="8"/>
      <c r="R148" s="7"/>
      <c r="S148" s="7"/>
      <c r="T148" s="7"/>
      <c r="U148" s="7"/>
      <c r="V148" s="7"/>
      <c r="W148" s="7"/>
      <c r="X148" s="7"/>
      <c r="Y148" s="6"/>
    </row>
    <row r="149" spans="3:25">
      <c r="C149" s="8"/>
      <c r="R149" s="7"/>
      <c r="S149" s="7"/>
      <c r="T149" s="7"/>
      <c r="U149" s="7"/>
      <c r="V149" s="7"/>
      <c r="W149" s="7"/>
      <c r="X149" s="7"/>
      <c r="Y149" s="6"/>
    </row>
    <row r="150" spans="3:25">
      <c r="C150" s="8"/>
      <c r="R150" s="7"/>
      <c r="S150" s="7"/>
      <c r="T150" s="7"/>
      <c r="U150" s="7"/>
      <c r="V150" s="7"/>
      <c r="W150" s="7"/>
      <c r="X150" s="7"/>
      <c r="Y150" s="6"/>
    </row>
    <row r="151" spans="3:25">
      <c r="C151" s="8"/>
      <c r="R151" s="7"/>
      <c r="S151" s="7"/>
      <c r="T151" s="7"/>
      <c r="U151" s="7"/>
      <c r="V151" s="7"/>
      <c r="W151" s="7"/>
      <c r="X151" s="7"/>
      <c r="Y151" s="6"/>
    </row>
    <row r="152" spans="3:25">
      <c r="C152" s="8"/>
      <c r="R152" s="7"/>
      <c r="S152" s="7"/>
      <c r="T152" s="7"/>
      <c r="U152" s="7"/>
      <c r="V152" s="7"/>
      <c r="W152" s="7"/>
      <c r="X152" s="7"/>
      <c r="Y152" s="6"/>
    </row>
    <row r="153" spans="3:25">
      <c r="C153" s="8"/>
      <c r="R153" s="7"/>
      <c r="S153" s="7"/>
      <c r="T153" s="7"/>
      <c r="U153" s="7"/>
      <c r="V153" s="7"/>
      <c r="W153" s="7"/>
      <c r="X153" s="7"/>
      <c r="Y153" s="6"/>
    </row>
    <row r="154" spans="3:25">
      <c r="C154" s="8"/>
      <c r="R154" s="7"/>
      <c r="S154" s="7"/>
      <c r="T154" s="7"/>
      <c r="U154" s="7"/>
      <c r="V154" s="7"/>
      <c r="W154" s="7"/>
      <c r="X154" s="7"/>
      <c r="Y154" s="6"/>
    </row>
    <row r="155" spans="3:25">
      <c r="C155" s="8"/>
      <c r="R155" s="7"/>
      <c r="S155" s="7"/>
      <c r="T155" s="7"/>
      <c r="U155" s="7"/>
      <c r="V155" s="7"/>
      <c r="W155" s="7"/>
      <c r="X155" s="7"/>
      <c r="Y155" s="6"/>
    </row>
    <row r="156" spans="3:25">
      <c r="C156" s="8"/>
      <c r="R156" s="7"/>
      <c r="S156" s="7"/>
      <c r="T156" s="7"/>
      <c r="U156" s="7"/>
      <c r="V156" s="7"/>
      <c r="W156" s="7"/>
      <c r="X156" s="7"/>
      <c r="Y156" s="6"/>
    </row>
    <row r="157" spans="3:25">
      <c r="C157" s="8"/>
      <c r="R157" s="7"/>
      <c r="S157" s="7"/>
      <c r="T157" s="7"/>
      <c r="U157" s="7"/>
      <c r="V157" s="7"/>
      <c r="W157" s="7"/>
      <c r="X157" s="7"/>
      <c r="Y157" s="6"/>
    </row>
    <row r="158" spans="3:25">
      <c r="C158" s="8"/>
      <c r="R158" s="7"/>
      <c r="S158" s="7"/>
      <c r="T158" s="7"/>
      <c r="U158" s="7"/>
      <c r="V158" s="7"/>
      <c r="W158" s="7"/>
      <c r="X158" s="7"/>
      <c r="Y158" s="6"/>
    </row>
    <row r="159" spans="3:25">
      <c r="C159" s="8"/>
      <c r="R159" s="7"/>
      <c r="S159" s="7"/>
      <c r="T159" s="7"/>
      <c r="U159" s="7"/>
      <c r="V159" s="7"/>
      <c r="W159" s="7"/>
      <c r="X159" s="7"/>
      <c r="Y159" s="6"/>
    </row>
    <row r="160" spans="3:25">
      <c r="C160" s="8"/>
      <c r="R160" s="7"/>
      <c r="S160" s="7"/>
      <c r="T160" s="7"/>
      <c r="U160" s="7"/>
      <c r="V160" s="7"/>
      <c r="W160" s="7"/>
      <c r="X160" s="7"/>
      <c r="Y160" s="6"/>
    </row>
    <row r="161" spans="3:25">
      <c r="C161" s="8"/>
      <c r="R161" s="7"/>
      <c r="S161" s="7"/>
      <c r="T161" s="7"/>
      <c r="U161" s="7"/>
      <c r="V161" s="7"/>
      <c r="W161" s="7"/>
      <c r="X161" s="7"/>
      <c r="Y161" s="6"/>
    </row>
    <row r="162" spans="3:25">
      <c r="C162" s="8"/>
      <c r="R162" s="7"/>
      <c r="S162" s="7"/>
      <c r="T162" s="7"/>
      <c r="U162" s="7"/>
      <c r="V162" s="7"/>
      <c r="W162" s="7"/>
      <c r="X162" s="7"/>
      <c r="Y162" s="6"/>
    </row>
    <row r="163" spans="3:25">
      <c r="C163" s="8"/>
      <c r="R163" s="7"/>
      <c r="S163" s="7"/>
      <c r="T163" s="7"/>
      <c r="U163" s="7"/>
      <c r="V163" s="7"/>
      <c r="W163" s="7"/>
      <c r="X163" s="7"/>
      <c r="Y163" s="6"/>
    </row>
    <row r="164" spans="3:25">
      <c r="C164" s="8"/>
      <c r="R164" s="7"/>
      <c r="S164" s="7"/>
      <c r="T164" s="7"/>
      <c r="U164" s="7"/>
      <c r="V164" s="7"/>
      <c r="W164" s="7"/>
      <c r="X164" s="7"/>
      <c r="Y164" s="6"/>
    </row>
    <row r="165" spans="3:25">
      <c r="C165" s="8"/>
      <c r="R165" s="7"/>
      <c r="S165" s="7"/>
      <c r="T165" s="7"/>
      <c r="U165" s="7"/>
      <c r="V165" s="7"/>
      <c r="W165" s="7"/>
      <c r="X165" s="7"/>
      <c r="Y165" s="6"/>
    </row>
    <row r="166" spans="3:25">
      <c r="C166" s="8"/>
      <c r="R166" s="7"/>
      <c r="S166" s="7"/>
      <c r="T166" s="7"/>
      <c r="U166" s="7"/>
      <c r="V166" s="7"/>
      <c r="W166" s="7"/>
      <c r="X166" s="7"/>
      <c r="Y166" s="6"/>
    </row>
    <row r="167" spans="3:25">
      <c r="C167" s="8"/>
      <c r="R167" s="7"/>
      <c r="S167" s="7"/>
      <c r="T167" s="7"/>
      <c r="U167" s="7"/>
      <c r="V167" s="7"/>
      <c r="W167" s="7"/>
      <c r="X167" s="7"/>
      <c r="Y167" s="6"/>
    </row>
    <row r="168" spans="3:25">
      <c r="C168" s="8"/>
      <c r="R168" s="7"/>
      <c r="S168" s="7"/>
      <c r="T168" s="7"/>
      <c r="U168" s="7"/>
      <c r="V168" s="7"/>
      <c r="W168" s="7"/>
      <c r="X168" s="7"/>
      <c r="Y168" s="6"/>
    </row>
    <row r="169" spans="3:25">
      <c r="C169" s="8"/>
      <c r="R169" s="7"/>
      <c r="S169" s="7"/>
      <c r="T169" s="7"/>
      <c r="U169" s="7"/>
      <c r="V169" s="7"/>
      <c r="W169" s="7"/>
      <c r="X169" s="7"/>
      <c r="Y169" s="6"/>
    </row>
    <row r="170" spans="3:25">
      <c r="C170" s="8"/>
      <c r="R170" s="7"/>
      <c r="S170" s="7"/>
      <c r="T170" s="7"/>
      <c r="U170" s="7"/>
      <c r="V170" s="7"/>
      <c r="W170" s="7"/>
      <c r="X170" s="7"/>
      <c r="Y170" s="6"/>
    </row>
    <row r="171" spans="3:25">
      <c r="C171" s="8"/>
      <c r="R171" s="7"/>
      <c r="S171" s="7"/>
      <c r="T171" s="7"/>
      <c r="U171" s="7"/>
      <c r="V171" s="7"/>
      <c r="W171" s="7"/>
      <c r="X171" s="7"/>
      <c r="Y171" s="6"/>
    </row>
    <row r="172" spans="3:25">
      <c r="C172" s="8"/>
      <c r="R172" s="7"/>
      <c r="S172" s="7"/>
      <c r="T172" s="7"/>
      <c r="U172" s="7"/>
      <c r="V172" s="7"/>
      <c r="W172" s="7"/>
      <c r="X172" s="7"/>
      <c r="Y172" s="6"/>
    </row>
    <row r="173" spans="3:25">
      <c r="C173" s="8"/>
      <c r="R173" s="7"/>
      <c r="S173" s="7"/>
      <c r="T173" s="7"/>
      <c r="U173" s="7"/>
      <c r="V173" s="7"/>
      <c r="W173" s="7"/>
      <c r="X173" s="7"/>
      <c r="Y173" s="6"/>
    </row>
    <row r="174" spans="3:25">
      <c r="C174" s="8"/>
      <c r="R174" s="7"/>
      <c r="S174" s="7"/>
      <c r="T174" s="7"/>
      <c r="U174" s="7"/>
      <c r="V174" s="7"/>
      <c r="W174" s="7"/>
      <c r="X174" s="7"/>
      <c r="Y174" s="6"/>
    </row>
    <row r="175" spans="3:25">
      <c r="C175" s="8"/>
      <c r="R175" s="7"/>
      <c r="S175" s="7"/>
      <c r="T175" s="7"/>
      <c r="U175" s="7"/>
      <c r="V175" s="7"/>
      <c r="W175" s="7"/>
      <c r="X175" s="7"/>
      <c r="Y175" s="6"/>
    </row>
    <row r="176" spans="3:25">
      <c r="C176" s="8"/>
      <c r="R176" s="7"/>
      <c r="S176" s="7"/>
      <c r="T176" s="7"/>
      <c r="U176" s="7"/>
      <c r="V176" s="7"/>
      <c r="W176" s="7"/>
      <c r="X176" s="7"/>
      <c r="Y176" s="6"/>
    </row>
    <row r="177" spans="3:25">
      <c r="C177" s="8"/>
      <c r="R177" s="7"/>
      <c r="S177" s="7"/>
      <c r="T177" s="7"/>
      <c r="U177" s="7"/>
      <c r="V177" s="7"/>
      <c r="W177" s="7"/>
      <c r="X177" s="7"/>
      <c r="Y177" s="6"/>
    </row>
    <row r="178" spans="3:25">
      <c r="C178" s="8"/>
      <c r="R178" s="7"/>
      <c r="S178" s="7"/>
      <c r="T178" s="7"/>
      <c r="U178" s="7"/>
      <c r="V178" s="7"/>
      <c r="W178" s="7"/>
      <c r="X178" s="7"/>
      <c r="Y178" s="6"/>
    </row>
    <row r="179" spans="3:25">
      <c r="C179" s="8"/>
      <c r="R179" s="7"/>
      <c r="S179" s="7"/>
      <c r="T179" s="7"/>
      <c r="U179" s="7"/>
      <c r="V179" s="7"/>
      <c r="W179" s="7"/>
      <c r="X179" s="7"/>
      <c r="Y179" s="6"/>
    </row>
    <row r="180" spans="3:25">
      <c r="C180" s="8"/>
      <c r="R180" s="7"/>
      <c r="S180" s="7"/>
      <c r="T180" s="7"/>
      <c r="U180" s="7"/>
      <c r="V180" s="7"/>
      <c r="W180" s="7"/>
      <c r="X180" s="7"/>
      <c r="Y180" s="6"/>
    </row>
    <row r="181" spans="3:25">
      <c r="C181" s="8"/>
      <c r="R181" s="7"/>
      <c r="S181" s="7"/>
      <c r="T181" s="7"/>
      <c r="U181" s="7"/>
      <c r="V181" s="7"/>
      <c r="W181" s="7"/>
      <c r="X181" s="7"/>
      <c r="Y181" s="6"/>
    </row>
    <row r="182" spans="3:25">
      <c r="C182" s="8"/>
      <c r="R182" s="7"/>
      <c r="S182" s="7"/>
      <c r="T182" s="7"/>
      <c r="U182" s="7"/>
      <c r="V182" s="7"/>
      <c r="W182" s="7"/>
      <c r="X182" s="7"/>
      <c r="Y182" s="6"/>
    </row>
    <row r="183" spans="3:25">
      <c r="C183" s="8"/>
      <c r="R183" s="7"/>
      <c r="S183" s="7"/>
      <c r="T183" s="7"/>
      <c r="U183" s="7"/>
      <c r="V183" s="7"/>
      <c r="W183" s="7"/>
      <c r="X183" s="7"/>
      <c r="Y183" s="6"/>
    </row>
    <row r="184" spans="3:25">
      <c r="C184" s="8"/>
      <c r="R184" s="7"/>
      <c r="S184" s="7"/>
      <c r="T184" s="7"/>
      <c r="U184" s="7"/>
      <c r="V184" s="7"/>
      <c r="W184" s="7"/>
      <c r="X184" s="7"/>
      <c r="Y184" s="6"/>
    </row>
    <row r="185" spans="3:25">
      <c r="C185" s="8"/>
      <c r="R185" s="7"/>
      <c r="S185" s="7"/>
      <c r="T185" s="7"/>
      <c r="U185" s="7"/>
      <c r="V185" s="7"/>
      <c r="W185" s="7"/>
      <c r="X185" s="7"/>
      <c r="Y185" s="6"/>
    </row>
    <row r="186" spans="3:25">
      <c r="C186" s="8"/>
      <c r="R186" s="7"/>
      <c r="S186" s="7"/>
      <c r="T186" s="7"/>
      <c r="U186" s="7"/>
      <c r="V186" s="7"/>
      <c r="W186" s="7"/>
      <c r="X186" s="7"/>
      <c r="Y186" s="6"/>
    </row>
    <row r="187" spans="3:25">
      <c r="C187" s="8"/>
      <c r="R187" s="7"/>
      <c r="S187" s="7"/>
      <c r="T187" s="7"/>
      <c r="U187" s="7"/>
      <c r="V187" s="7"/>
      <c r="W187" s="7"/>
      <c r="X187" s="7"/>
      <c r="Y187" s="6"/>
    </row>
    <row r="188" spans="3:25">
      <c r="C188" s="8"/>
      <c r="R188" s="7"/>
      <c r="S188" s="7"/>
      <c r="T188" s="7"/>
      <c r="U188" s="7"/>
      <c r="V188" s="7"/>
      <c r="W188" s="7"/>
      <c r="X188" s="7"/>
      <c r="Y188" s="6"/>
    </row>
    <row r="189" spans="3:25">
      <c r="C189" s="8"/>
      <c r="R189" s="7"/>
      <c r="S189" s="7"/>
      <c r="T189" s="7"/>
      <c r="U189" s="7"/>
      <c r="V189" s="7"/>
      <c r="W189" s="7"/>
      <c r="X189" s="7"/>
      <c r="Y189" s="6"/>
    </row>
    <row r="190" spans="3:25">
      <c r="C190" s="8"/>
      <c r="R190" s="7"/>
      <c r="S190" s="7"/>
      <c r="T190" s="7"/>
      <c r="U190" s="7"/>
      <c r="V190" s="7"/>
      <c r="W190" s="7"/>
      <c r="X190" s="7"/>
      <c r="Y190" s="6"/>
    </row>
    <row r="191" spans="3:25">
      <c r="C191" s="8"/>
      <c r="R191" s="7"/>
      <c r="S191" s="7"/>
      <c r="T191" s="7"/>
      <c r="U191" s="7"/>
      <c r="V191" s="7"/>
      <c r="W191" s="7"/>
      <c r="X191" s="7"/>
      <c r="Y191" s="6"/>
    </row>
    <row r="192" spans="3:25">
      <c r="C192" s="8"/>
      <c r="R192" s="7"/>
      <c r="S192" s="7"/>
      <c r="T192" s="7"/>
      <c r="U192" s="7"/>
      <c r="V192" s="7"/>
      <c r="W192" s="7"/>
      <c r="X192" s="7"/>
      <c r="Y192" s="6"/>
    </row>
    <row r="193" spans="3:25">
      <c r="C193" s="8"/>
      <c r="R193" s="7"/>
      <c r="S193" s="7"/>
      <c r="T193" s="7"/>
      <c r="U193" s="7"/>
      <c r="V193" s="7"/>
      <c r="W193" s="7"/>
      <c r="X193" s="7"/>
      <c r="Y193" s="6"/>
    </row>
    <row r="194" spans="3:25">
      <c r="C194" s="8"/>
      <c r="R194" s="7"/>
      <c r="S194" s="7"/>
      <c r="T194" s="7"/>
      <c r="U194" s="7"/>
      <c r="V194" s="7"/>
      <c r="W194" s="7"/>
      <c r="X194" s="7"/>
      <c r="Y194" s="6"/>
    </row>
    <row r="195" spans="3:25">
      <c r="C195" s="8"/>
      <c r="R195" s="7"/>
      <c r="S195" s="7"/>
      <c r="T195" s="7"/>
      <c r="U195" s="7"/>
      <c r="V195" s="7"/>
      <c r="W195" s="7"/>
      <c r="X195" s="7"/>
      <c r="Y195" s="6"/>
    </row>
    <row r="196" spans="3:25">
      <c r="C196" s="8"/>
      <c r="R196" s="7"/>
      <c r="S196" s="7"/>
      <c r="T196" s="7"/>
      <c r="U196" s="7"/>
      <c r="V196" s="7"/>
      <c r="W196" s="7"/>
      <c r="X196" s="7"/>
      <c r="Y196" s="6"/>
    </row>
    <row r="197" spans="3:25">
      <c r="C197" s="8"/>
      <c r="R197" s="7"/>
      <c r="S197" s="7"/>
      <c r="T197" s="7"/>
      <c r="U197" s="7"/>
      <c r="V197" s="7"/>
      <c r="W197" s="7"/>
      <c r="X197" s="7"/>
      <c r="Y197" s="6"/>
    </row>
    <row r="198" spans="3:25">
      <c r="C198" s="8"/>
    </row>
    <row r="199" spans="3:25">
      <c r="C199" s="8"/>
    </row>
    <row r="200" spans="3:25">
      <c r="C200" s="8"/>
    </row>
    <row r="201" spans="3:25">
      <c r="C201" s="8"/>
    </row>
    <row r="202" spans="3:25">
      <c r="C202" s="8"/>
    </row>
    <row r="203" spans="3:25">
      <c r="C203" s="8"/>
    </row>
    <row r="204" spans="3:25">
      <c r="C204" s="8"/>
    </row>
    <row r="205" spans="3:25">
      <c r="C205" s="8"/>
    </row>
    <row r="206" spans="3:25">
      <c r="C206" s="8"/>
    </row>
    <row r="207" spans="3:25">
      <c r="C207" s="8"/>
    </row>
    <row r="208" spans="3:25">
      <c r="C208" s="8"/>
    </row>
    <row r="209" spans="3:3">
      <c r="C209" s="8"/>
    </row>
  </sheetData>
  <mergeCells count="3">
    <mergeCell ref="E2:P2"/>
    <mergeCell ref="R27:T27"/>
    <mergeCell ref="R2:A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E76A-3658-6448-8758-CF9813B16381}">
  <dimension ref="A1:P203"/>
  <sheetViews>
    <sheetView topLeftCell="H1" zoomScale="60" zoomScaleNormal="60" workbookViewId="0">
      <pane ySplit="1" topLeftCell="A176" activePane="bottomLeft" state="frozen"/>
      <selection pane="bottomLeft" activeCell="H202" sqref="H202"/>
    </sheetView>
  </sheetViews>
  <sheetFormatPr baseColWidth="10" defaultColWidth="8.796875" defaultRowHeight="15.6"/>
  <cols>
    <col min="2" max="13" width="18.296875" customWidth="1"/>
    <col min="15" max="15" width="10.5" bestFit="1" customWidth="1"/>
  </cols>
  <sheetData>
    <row r="1" spans="1:15" s="51" customFormat="1" ht="27.6">
      <c r="B1" s="51" t="s">
        <v>40</v>
      </c>
      <c r="C1" s="51" t="s">
        <v>41</v>
      </c>
      <c r="D1" s="51" t="s">
        <v>8</v>
      </c>
      <c r="E1" s="51" t="s">
        <v>11</v>
      </c>
      <c r="F1" s="51" t="s">
        <v>42</v>
      </c>
      <c r="G1" s="51" t="s">
        <v>1</v>
      </c>
      <c r="H1" s="51" t="s">
        <v>43</v>
      </c>
      <c r="I1" s="51" t="s">
        <v>44</v>
      </c>
      <c r="J1" s="51" t="s">
        <v>51</v>
      </c>
      <c r="K1" s="51" t="s">
        <v>45</v>
      </c>
      <c r="L1" s="51" t="s">
        <v>46</v>
      </c>
      <c r="M1" s="51" t="s">
        <v>47</v>
      </c>
      <c r="O1" s="51" t="s">
        <v>50</v>
      </c>
    </row>
    <row r="2" spans="1:15">
      <c r="A2">
        <v>1</v>
      </c>
      <c r="B2">
        <v>1254</v>
      </c>
      <c r="C2">
        <v>301</v>
      </c>
      <c r="D2">
        <v>16160</v>
      </c>
      <c r="E2">
        <v>6745</v>
      </c>
      <c r="F2">
        <v>650</v>
      </c>
      <c r="G2">
        <v>0</v>
      </c>
      <c r="H2">
        <v>220</v>
      </c>
      <c r="I2">
        <v>10241</v>
      </c>
      <c r="J2">
        <v>1190</v>
      </c>
      <c r="K2">
        <v>0</v>
      </c>
      <c r="L2">
        <v>1112</v>
      </c>
      <c r="M2">
        <v>1120</v>
      </c>
      <c r="O2" s="53">
        <f t="shared" ref="O2:O33" si="0">SUM(B2:M2)</f>
        <v>38993</v>
      </c>
    </row>
    <row r="3" spans="1:15">
      <c r="A3">
        <v>2</v>
      </c>
      <c r="B3">
        <v>2113</v>
      </c>
      <c r="C3">
        <v>2494</v>
      </c>
      <c r="D3">
        <v>650</v>
      </c>
      <c r="E3">
        <v>0</v>
      </c>
      <c r="F3">
        <v>2166</v>
      </c>
      <c r="G3">
        <v>473</v>
      </c>
      <c r="H3">
        <v>1096</v>
      </c>
      <c r="I3">
        <v>3560</v>
      </c>
      <c r="J3">
        <v>730</v>
      </c>
      <c r="K3">
        <v>418</v>
      </c>
      <c r="L3">
        <v>2817</v>
      </c>
      <c r="M3">
        <v>1598</v>
      </c>
      <c r="O3" s="53">
        <f t="shared" si="0"/>
        <v>18115</v>
      </c>
    </row>
    <row r="4" spans="1:15">
      <c r="A4">
        <v>3</v>
      </c>
      <c r="B4">
        <v>2052</v>
      </c>
      <c r="C4">
        <v>484</v>
      </c>
      <c r="D4">
        <v>1152</v>
      </c>
      <c r="E4">
        <v>7560</v>
      </c>
      <c r="F4">
        <v>436</v>
      </c>
      <c r="G4">
        <v>240</v>
      </c>
      <c r="H4">
        <v>852</v>
      </c>
      <c r="I4">
        <v>3530</v>
      </c>
      <c r="J4">
        <v>106</v>
      </c>
      <c r="K4">
        <v>0</v>
      </c>
      <c r="L4">
        <v>212</v>
      </c>
      <c r="M4">
        <v>379</v>
      </c>
      <c r="O4" s="53">
        <f t="shared" si="0"/>
        <v>17003</v>
      </c>
    </row>
    <row r="5" spans="1:15">
      <c r="A5">
        <v>4</v>
      </c>
      <c r="B5">
        <v>4500</v>
      </c>
      <c r="C5">
        <v>950</v>
      </c>
      <c r="D5">
        <v>1000</v>
      </c>
      <c r="E5">
        <v>12500</v>
      </c>
      <c r="F5">
        <v>2500</v>
      </c>
      <c r="G5">
        <v>600</v>
      </c>
      <c r="H5">
        <v>200</v>
      </c>
      <c r="I5">
        <v>27000</v>
      </c>
      <c r="J5">
        <v>75</v>
      </c>
      <c r="K5">
        <v>0</v>
      </c>
      <c r="L5">
        <v>250</v>
      </c>
      <c r="M5">
        <v>2000</v>
      </c>
      <c r="O5" s="53">
        <f t="shared" si="0"/>
        <v>51575</v>
      </c>
    </row>
    <row r="6" spans="1:15">
      <c r="A6">
        <v>5</v>
      </c>
      <c r="B6">
        <v>4000</v>
      </c>
      <c r="C6">
        <v>2000</v>
      </c>
      <c r="D6">
        <v>3000</v>
      </c>
      <c r="E6">
        <v>9000</v>
      </c>
      <c r="F6">
        <v>2500</v>
      </c>
      <c r="G6">
        <v>900</v>
      </c>
      <c r="H6">
        <v>1000</v>
      </c>
      <c r="I6">
        <v>7000</v>
      </c>
      <c r="J6">
        <v>400</v>
      </c>
      <c r="K6">
        <v>50</v>
      </c>
      <c r="L6">
        <v>500</v>
      </c>
      <c r="M6">
        <v>800</v>
      </c>
      <c r="O6" s="53">
        <f t="shared" si="0"/>
        <v>31150</v>
      </c>
    </row>
    <row r="7" spans="1:15">
      <c r="A7">
        <v>6</v>
      </c>
      <c r="B7">
        <v>5000</v>
      </c>
      <c r="C7">
        <v>2000</v>
      </c>
      <c r="D7">
        <v>1500</v>
      </c>
      <c r="E7">
        <v>9000</v>
      </c>
      <c r="F7">
        <v>500</v>
      </c>
      <c r="G7">
        <v>540</v>
      </c>
      <c r="H7">
        <v>400</v>
      </c>
      <c r="I7">
        <v>9500</v>
      </c>
      <c r="J7">
        <v>150</v>
      </c>
      <c r="K7">
        <v>0</v>
      </c>
      <c r="L7">
        <v>600</v>
      </c>
      <c r="M7">
        <v>700</v>
      </c>
      <c r="O7" s="53">
        <f t="shared" si="0"/>
        <v>29890</v>
      </c>
    </row>
    <row r="8" spans="1:15">
      <c r="A8">
        <v>7</v>
      </c>
      <c r="B8">
        <v>1800</v>
      </c>
      <c r="C8">
        <v>1200</v>
      </c>
      <c r="D8">
        <v>600</v>
      </c>
      <c r="E8">
        <v>2400</v>
      </c>
      <c r="F8">
        <v>1200</v>
      </c>
      <c r="G8">
        <v>300</v>
      </c>
      <c r="H8">
        <v>1400</v>
      </c>
      <c r="I8">
        <v>65640</v>
      </c>
      <c r="J8">
        <v>1800</v>
      </c>
      <c r="K8">
        <v>360</v>
      </c>
      <c r="L8">
        <v>312</v>
      </c>
      <c r="M8">
        <v>2400</v>
      </c>
      <c r="O8" s="53">
        <f t="shared" si="0"/>
        <v>79412</v>
      </c>
    </row>
    <row r="9" spans="1:15">
      <c r="A9">
        <v>8</v>
      </c>
      <c r="B9">
        <v>2500</v>
      </c>
      <c r="C9">
        <v>1500</v>
      </c>
      <c r="D9">
        <v>1000</v>
      </c>
      <c r="E9">
        <v>6000</v>
      </c>
      <c r="F9">
        <v>700</v>
      </c>
      <c r="G9">
        <v>1020</v>
      </c>
      <c r="H9">
        <v>2000</v>
      </c>
      <c r="I9">
        <v>2400</v>
      </c>
      <c r="J9">
        <v>120</v>
      </c>
      <c r="K9">
        <v>1500</v>
      </c>
      <c r="L9">
        <v>0</v>
      </c>
      <c r="M9">
        <v>2000</v>
      </c>
      <c r="O9" s="53">
        <f t="shared" si="0"/>
        <v>20740</v>
      </c>
    </row>
    <row r="10" spans="1:15">
      <c r="A10">
        <v>9</v>
      </c>
      <c r="B10">
        <v>14400</v>
      </c>
      <c r="C10">
        <v>720</v>
      </c>
      <c r="D10">
        <v>450</v>
      </c>
      <c r="E10">
        <v>16380</v>
      </c>
      <c r="F10">
        <v>840</v>
      </c>
      <c r="G10">
        <v>540</v>
      </c>
      <c r="I10">
        <v>3000</v>
      </c>
      <c r="J10">
        <v>410</v>
      </c>
      <c r="K10">
        <v>0</v>
      </c>
      <c r="L10">
        <v>300</v>
      </c>
      <c r="M10">
        <v>1000</v>
      </c>
      <c r="O10" s="53">
        <f t="shared" si="0"/>
        <v>38040</v>
      </c>
    </row>
    <row r="11" spans="1:15">
      <c r="A11">
        <v>10</v>
      </c>
      <c r="B11">
        <v>2500</v>
      </c>
      <c r="C11">
        <v>1000</v>
      </c>
      <c r="D11">
        <v>6000</v>
      </c>
      <c r="E11">
        <v>13500</v>
      </c>
      <c r="F11">
        <v>1000</v>
      </c>
      <c r="G11">
        <v>850</v>
      </c>
      <c r="H11">
        <v>300</v>
      </c>
      <c r="I11">
        <v>17000</v>
      </c>
      <c r="J11">
        <v>500</v>
      </c>
      <c r="K11">
        <v>400</v>
      </c>
      <c r="L11">
        <v>600</v>
      </c>
      <c r="M11">
        <v>3000</v>
      </c>
      <c r="O11" s="53">
        <f t="shared" si="0"/>
        <v>46650</v>
      </c>
    </row>
    <row r="12" spans="1:15">
      <c r="A12">
        <v>11</v>
      </c>
      <c r="B12">
        <v>1800</v>
      </c>
      <c r="C12">
        <v>350</v>
      </c>
      <c r="D12">
        <v>100</v>
      </c>
      <c r="E12">
        <v>6250</v>
      </c>
      <c r="F12">
        <v>1000</v>
      </c>
      <c r="G12">
        <v>600</v>
      </c>
      <c r="H12">
        <v>120</v>
      </c>
      <c r="I12">
        <v>11000</v>
      </c>
      <c r="J12">
        <v>200</v>
      </c>
      <c r="K12">
        <v>0</v>
      </c>
      <c r="L12">
        <v>250</v>
      </c>
      <c r="M12">
        <v>1500</v>
      </c>
      <c r="O12" s="53">
        <f t="shared" si="0"/>
        <v>23170</v>
      </c>
    </row>
    <row r="13" spans="1:15">
      <c r="A13">
        <v>12</v>
      </c>
      <c r="B13">
        <v>3300</v>
      </c>
      <c r="C13">
        <v>1200</v>
      </c>
      <c r="D13">
        <v>500</v>
      </c>
      <c r="E13">
        <v>0</v>
      </c>
      <c r="F13">
        <v>450</v>
      </c>
      <c r="G13">
        <v>450</v>
      </c>
      <c r="H13">
        <v>300</v>
      </c>
      <c r="I13">
        <v>6400</v>
      </c>
      <c r="J13">
        <v>400</v>
      </c>
      <c r="K13">
        <v>0</v>
      </c>
      <c r="L13">
        <v>200</v>
      </c>
      <c r="M13">
        <v>600</v>
      </c>
      <c r="O13" s="53">
        <f t="shared" si="0"/>
        <v>13800</v>
      </c>
    </row>
    <row r="14" spans="1:15">
      <c r="A14">
        <v>13</v>
      </c>
      <c r="B14">
        <v>2100</v>
      </c>
      <c r="C14">
        <v>2500</v>
      </c>
      <c r="D14">
        <v>648</v>
      </c>
      <c r="E14">
        <v>7200</v>
      </c>
      <c r="F14">
        <v>600</v>
      </c>
      <c r="G14">
        <v>600</v>
      </c>
      <c r="H14">
        <v>252</v>
      </c>
      <c r="I14">
        <v>10000</v>
      </c>
      <c r="J14">
        <v>500</v>
      </c>
      <c r="K14">
        <v>0</v>
      </c>
      <c r="L14">
        <v>200</v>
      </c>
      <c r="M14">
        <v>800</v>
      </c>
      <c r="O14" s="53">
        <f t="shared" si="0"/>
        <v>25400</v>
      </c>
    </row>
    <row r="15" spans="1:15">
      <c r="A15">
        <v>14</v>
      </c>
      <c r="B15">
        <v>611</v>
      </c>
      <c r="C15">
        <v>181</v>
      </c>
      <c r="D15">
        <v>469</v>
      </c>
      <c r="E15" s="53">
        <v>979.81</v>
      </c>
      <c r="F15">
        <v>450</v>
      </c>
      <c r="G15">
        <v>664</v>
      </c>
      <c r="H15">
        <v>300</v>
      </c>
      <c r="I15">
        <v>12500</v>
      </c>
      <c r="J15">
        <v>100</v>
      </c>
      <c r="K15">
        <v>420</v>
      </c>
      <c r="L15">
        <v>0</v>
      </c>
      <c r="M15">
        <v>1060</v>
      </c>
      <c r="O15" s="53">
        <f t="shared" si="0"/>
        <v>17734.809999999998</v>
      </c>
    </row>
    <row r="16" spans="1:15">
      <c r="A16">
        <v>15</v>
      </c>
      <c r="B16">
        <v>435</v>
      </c>
      <c r="C16">
        <v>231</v>
      </c>
      <c r="D16">
        <v>35</v>
      </c>
      <c r="E16">
        <v>15</v>
      </c>
      <c r="F16">
        <v>370</v>
      </c>
      <c r="G16">
        <v>250</v>
      </c>
      <c r="H16">
        <v>100</v>
      </c>
      <c r="I16">
        <v>7543</v>
      </c>
      <c r="J16">
        <v>600</v>
      </c>
      <c r="K16">
        <v>0</v>
      </c>
      <c r="L16">
        <v>70</v>
      </c>
      <c r="M16">
        <v>700</v>
      </c>
      <c r="O16" s="53">
        <f t="shared" si="0"/>
        <v>10349</v>
      </c>
    </row>
    <row r="17" spans="1:15">
      <c r="A17">
        <v>16</v>
      </c>
      <c r="B17">
        <v>18000</v>
      </c>
      <c r="C17">
        <v>1800</v>
      </c>
      <c r="D17">
        <v>5784</v>
      </c>
      <c r="E17">
        <v>15600</v>
      </c>
      <c r="F17">
        <v>3900</v>
      </c>
      <c r="G17">
        <v>480</v>
      </c>
      <c r="H17">
        <v>1080</v>
      </c>
      <c r="I17">
        <v>12196</v>
      </c>
      <c r="J17">
        <v>600</v>
      </c>
      <c r="K17">
        <v>0</v>
      </c>
      <c r="L17">
        <v>60</v>
      </c>
      <c r="M17">
        <v>6000</v>
      </c>
      <c r="O17" s="53">
        <f t="shared" si="0"/>
        <v>65500</v>
      </c>
    </row>
    <row r="18" spans="1:15">
      <c r="A18">
        <v>17</v>
      </c>
      <c r="B18">
        <v>0</v>
      </c>
      <c r="C18">
        <v>5500</v>
      </c>
      <c r="D18">
        <v>450</v>
      </c>
      <c r="E18">
        <v>4000</v>
      </c>
      <c r="F18">
        <v>200</v>
      </c>
      <c r="G18">
        <v>45</v>
      </c>
      <c r="H18">
        <v>0</v>
      </c>
      <c r="I18">
        <v>12700</v>
      </c>
      <c r="J18">
        <v>150</v>
      </c>
      <c r="K18">
        <v>0</v>
      </c>
      <c r="L18">
        <v>0</v>
      </c>
      <c r="M18">
        <v>1500</v>
      </c>
      <c r="O18" s="53">
        <f t="shared" si="0"/>
        <v>24545</v>
      </c>
    </row>
    <row r="19" spans="1:15">
      <c r="A19">
        <v>18</v>
      </c>
      <c r="B19">
        <v>3400</v>
      </c>
      <c r="C19">
        <v>1000</v>
      </c>
      <c r="D19">
        <v>3000</v>
      </c>
      <c r="E19">
        <v>9300</v>
      </c>
      <c r="F19">
        <v>7700</v>
      </c>
      <c r="G19">
        <v>600</v>
      </c>
      <c r="H19">
        <v>6000</v>
      </c>
      <c r="I19">
        <v>8000</v>
      </c>
      <c r="J19">
        <v>500</v>
      </c>
      <c r="K19">
        <v>0</v>
      </c>
      <c r="L19">
        <v>4500</v>
      </c>
      <c r="M19">
        <v>4000</v>
      </c>
      <c r="O19" s="53">
        <f t="shared" si="0"/>
        <v>48000</v>
      </c>
    </row>
    <row r="20" spans="1:15">
      <c r="A20">
        <v>19</v>
      </c>
      <c r="B20">
        <v>500</v>
      </c>
      <c r="C20">
        <v>100</v>
      </c>
      <c r="D20">
        <v>160</v>
      </c>
      <c r="E20">
        <v>425</v>
      </c>
      <c r="F20">
        <v>0</v>
      </c>
      <c r="G20">
        <v>0</v>
      </c>
      <c r="H20">
        <v>0</v>
      </c>
      <c r="I20">
        <v>8000</v>
      </c>
      <c r="J20">
        <v>80</v>
      </c>
      <c r="K20">
        <v>0</v>
      </c>
      <c r="L20">
        <v>42</v>
      </c>
      <c r="M20">
        <v>300</v>
      </c>
      <c r="O20" s="53">
        <f t="shared" si="0"/>
        <v>9607</v>
      </c>
    </row>
    <row r="21" spans="1:15">
      <c r="A21">
        <v>20</v>
      </c>
      <c r="B21">
        <v>3600</v>
      </c>
      <c r="C21">
        <v>1000</v>
      </c>
      <c r="D21">
        <v>1000</v>
      </c>
      <c r="E21">
        <v>5600</v>
      </c>
      <c r="F21">
        <v>1000</v>
      </c>
      <c r="G21">
        <v>600</v>
      </c>
      <c r="H21">
        <v>20000</v>
      </c>
      <c r="I21">
        <v>20000</v>
      </c>
      <c r="J21">
        <v>2000</v>
      </c>
      <c r="K21">
        <v>20</v>
      </c>
      <c r="L21">
        <v>200</v>
      </c>
      <c r="M21">
        <v>2000</v>
      </c>
      <c r="O21" s="53">
        <f t="shared" si="0"/>
        <v>57020</v>
      </c>
    </row>
    <row r="22" spans="1:15">
      <c r="A22">
        <v>21</v>
      </c>
      <c r="B22">
        <v>2400</v>
      </c>
      <c r="C22">
        <v>3000</v>
      </c>
      <c r="D22">
        <v>2500</v>
      </c>
      <c r="E22">
        <v>36000</v>
      </c>
      <c r="F22">
        <v>10000</v>
      </c>
      <c r="G22">
        <v>1500</v>
      </c>
      <c r="H22">
        <v>2200</v>
      </c>
      <c r="I22">
        <v>3350</v>
      </c>
      <c r="J22">
        <v>1000</v>
      </c>
      <c r="K22">
        <v>0</v>
      </c>
      <c r="L22">
        <v>700</v>
      </c>
      <c r="M22">
        <v>2700</v>
      </c>
      <c r="O22" s="53">
        <f t="shared" si="0"/>
        <v>65350</v>
      </c>
    </row>
    <row r="23" spans="1:15">
      <c r="A23">
        <v>22</v>
      </c>
      <c r="B23">
        <v>3840</v>
      </c>
      <c r="C23">
        <v>1400</v>
      </c>
      <c r="D23">
        <v>200</v>
      </c>
      <c r="E23">
        <v>9000</v>
      </c>
      <c r="F23">
        <v>700</v>
      </c>
      <c r="G23">
        <v>540</v>
      </c>
      <c r="H23">
        <v>180</v>
      </c>
      <c r="I23">
        <v>13000</v>
      </c>
      <c r="J23">
        <v>1000</v>
      </c>
      <c r="K23">
        <v>2200</v>
      </c>
      <c r="L23">
        <v>3000</v>
      </c>
      <c r="M23">
        <v>800</v>
      </c>
      <c r="O23" s="53">
        <f t="shared" si="0"/>
        <v>35860</v>
      </c>
    </row>
    <row r="24" spans="1:15">
      <c r="A24">
        <v>23</v>
      </c>
      <c r="B24">
        <v>0</v>
      </c>
      <c r="C24">
        <v>500</v>
      </c>
      <c r="D24">
        <v>650</v>
      </c>
      <c r="E24">
        <v>0</v>
      </c>
      <c r="F24">
        <v>568</v>
      </c>
      <c r="G24">
        <v>0</v>
      </c>
      <c r="H24">
        <v>683</v>
      </c>
      <c r="I24">
        <v>400</v>
      </c>
      <c r="J24">
        <v>400</v>
      </c>
      <c r="K24">
        <v>0</v>
      </c>
      <c r="L24">
        <v>150</v>
      </c>
      <c r="M24">
        <v>350</v>
      </c>
      <c r="O24" s="53">
        <f t="shared" si="0"/>
        <v>3701</v>
      </c>
    </row>
    <row r="25" spans="1:15">
      <c r="A25">
        <v>24</v>
      </c>
      <c r="B25">
        <v>2400</v>
      </c>
      <c r="C25">
        <v>1200</v>
      </c>
      <c r="D25">
        <v>880</v>
      </c>
      <c r="E25">
        <v>0</v>
      </c>
      <c r="F25">
        <v>235</v>
      </c>
      <c r="G25">
        <v>0</v>
      </c>
      <c r="H25">
        <v>992</v>
      </c>
      <c r="I25">
        <v>3500</v>
      </c>
      <c r="J25">
        <v>400</v>
      </c>
      <c r="K25">
        <v>0</v>
      </c>
      <c r="L25">
        <v>1293</v>
      </c>
      <c r="M25">
        <v>2567</v>
      </c>
      <c r="O25" s="53">
        <f t="shared" si="0"/>
        <v>13467</v>
      </c>
    </row>
    <row r="26" spans="1:15">
      <c r="A26">
        <v>25</v>
      </c>
      <c r="B26">
        <v>1000</v>
      </c>
      <c r="C26">
        <v>800</v>
      </c>
      <c r="D26">
        <v>600</v>
      </c>
      <c r="E26">
        <v>0</v>
      </c>
      <c r="F26">
        <v>200</v>
      </c>
      <c r="G26">
        <v>420</v>
      </c>
      <c r="H26">
        <v>150</v>
      </c>
      <c r="I26">
        <v>8946</v>
      </c>
      <c r="J26">
        <v>648</v>
      </c>
      <c r="K26">
        <v>0</v>
      </c>
      <c r="L26">
        <v>80</v>
      </c>
      <c r="M26">
        <v>950</v>
      </c>
      <c r="O26" s="53">
        <f t="shared" si="0"/>
        <v>13794</v>
      </c>
    </row>
    <row r="27" spans="1:15">
      <c r="A27">
        <v>26</v>
      </c>
      <c r="B27">
        <v>3600</v>
      </c>
      <c r="C27">
        <v>1200</v>
      </c>
      <c r="D27">
        <v>190</v>
      </c>
      <c r="E27">
        <v>24000</v>
      </c>
      <c r="F27">
        <v>0</v>
      </c>
      <c r="G27">
        <v>840</v>
      </c>
      <c r="H27">
        <v>560</v>
      </c>
      <c r="I27">
        <v>12000</v>
      </c>
      <c r="J27">
        <v>230</v>
      </c>
      <c r="K27">
        <v>75</v>
      </c>
      <c r="L27">
        <v>0</v>
      </c>
      <c r="M27">
        <v>480</v>
      </c>
      <c r="O27" s="53">
        <f t="shared" si="0"/>
        <v>43175</v>
      </c>
    </row>
    <row r="28" spans="1:15">
      <c r="A28">
        <v>27</v>
      </c>
      <c r="B28">
        <v>1000</v>
      </c>
      <c r="C28">
        <v>300</v>
      </c>
      <c r="D28">
        <v>3500</v>
      </c>
      <c r="E28">
        <v>500</v>
      </c>
      <c r="F28">
        <v>100</v>
      </c>
      <c r="G28">
        <v>400</v>
      </c>
      <c r="H28">
        <v>400</v>
      </c>
      <c r="I28">
        <v>5000</v>
      </c>
      <c r="J28">
        <v>400</v>
      </c>
      <c r="K28">
        <v>0</v>
      </c>
      <c r="L28">
        <v>60</v>
      </c>
      <c r="M28">
        <v>400</v>
      </c>
      <c r="O28" s="53">
        <f t="shared" si="0"/>
        <v>12060</v>
      </c>
    </row>
    <row r="29" spans="1:15">
      <c r="A29">
        <v>28</v>
      </c>
      <c r="B29">
        <v>9600</v>
      </c>
      <c r="C29">
        <v>1000</v>
      </c>
      <c r="D29">
        <v>436</v>
      </c>
      <c r="E29">
        <v>3600</v>
      </c>
      <c r="F29">
        <v>2000</v>
      </c>
      <c r="G29">
        <v>660</v>
      </c>
      <c r="H29">
        <v>300</v>
      </c>
      <c r="I29">
        <v>12813</v>
      </c>
      <c r="J29">
        <v>300</v>
      </c>
      <c r="K29">
        <v>0</v>
      </c>
      <c r="L29">
        <v>0</v>
      </c>
      <c r="M29">
        <v>2000</v>
      </c>
      <c r="O29" s="53">
        <f t="shared" si="0"/>
        <v>32709</v>
      </c>
    </row>
    <row r="30" spans="1:15">
      <c r="A30">
        <v>29</v>
      </c>
      <c r="B30">
        <v>0</v>
      </c>
      <c r="C30">
        <v>1248</v>
      </c>
      <c r="D30">
        <v>1628</v>
      </c>
      <c r="E30">
        <v>0</v>
      </c>
      <c r="F30">
        <v>0</v>
      </c>
      <c r="G30">
        <v>0</v>
      </c>
      <c r="H30">
        <v>914</v>
      </c>
      <c r="I30">
        <v>8122</v>
      </c>
      <c r="J30">
        <v>36</v>
      </c>
      <c r="K30">
        <v>0</v>
      </c>
      <c r="L30">
        <v>861</v>
      </c>
      <c r="M30">
        <v>765</v>
      </c>
      <c r="O30" s="53">
        <f t="shared" si="0"/>
        <v>13574</v>
      </c>
    </row>
    <row r="31" spans="1:15">
      <c r="A31">
        <v>30</v>
      </c>
      <c r="B31">
        <v>2000</v>
      </c>
      <c r="C31">
        <v>7500</v>
      </c>
      <c r="D31">
        <v>5000</v>
      </c>
      <c r="E31">
        <v>19000</v>
      </c>
      <c r="F31">
        <v>0</v>
      </c>
      <c r="G31">
        <v>1000</v>
      </c>
      <c r="H31">
        <v>1400</v>
      </c>
      <c r="I31">
        <v>11000</v>
      </c>
      <c r="J31">
        <v>900</v>
      </c>
      <c r="K31">
        <v>3600</v>
      </c>
      <c r="L31">
        <v>1000</v>
      </c>
      <c r="M31">
        <v>3000</v>
      </c>
      <c r="O31" s="53">
        <f t="shared" si="0"/>
        <v>55400</v>
      </c>
    </row>
    <row r="32" spans="1:15">
      <c r="A32">
        <v>31</v>
      </c>
      <c r="B32">
        <v>5000</v>
      </c>
      <c r="C32">
        <v>1000</v>
      </c>
      <c r="D32">
        <v>700</v>
      </c>
      <c r="E32">
        <v>12000</v>
      </c>
      <c r="F32">
        <v>300</v>
      </c>
      <c r="G32">
        <v>300</v>
      </c>
      <c r="H32">
        <v>500</v>
      </c>
      <c r="I32">
        <v>13000</v>
      </c>
      <c r="J32">
        <v>500</v>
      </c>
      <c r="K32">
        <v>0</v>
      </c>
      <c r="L32">
        <v>1200</v>
      </c>
      <c r="M32">
        <v>1200</v>
      </c>
      <c r="O32" s="53">
        <f t="shared" si="0"/>
        <v>35700</v>
      </c>
    </row>
    <row r="33" spans="1:15">
      <c r="A33">
        <v>32</v>
      </c>
      <c r="B33">
        <v>3913</v>
      </c>
      <c r="C33">
        <v>200</v>
      </c>
      <c r="D33">
        <v>1000</v>
      </c>
      <c r="E33">
        <v>10360</v>
      </c>
      <c r="F33">
        <v>50</v>
      </c>
      <c r="G33">
        <v>500</v>
      </c>
      <c r="H33">
        <v>100</v>
      </c>
      <c r="I33">
        <v>16500</v>
      </c>
      <c r="J33">
        <v>600</v>
      </c>
      <c r="K33">
        <v>0</v>
      </c>
      <c r="L33">
        <v>2000</v>
      </c>
      <c r="M33">
        <v>1000</v>
      </c>
      <c r="O33" s="53">
        <f t="shared" si="0"/>
        <v>36223</v>
      </c>
    </row>
    <row r="34" spans="1:15">
      <c r="A34">
        <v>33</v>
      </c>
      <c r="B34">
        <v>100</v>
      </c>
      <c r="C34">
        <v>300</v>
      </c>
      <c r="D34">
        <v>30</v>
      </c>
      <c r="E34">
        <v>6000</v>
      </c>
      <c r="F34">
        <v>0</v>
      </c>
      <c r="G34">
        <v>0</v>
      </c>
      <c r="H34">
        <v>0</v>
      </c>
      <c r="I34">
        <v>6000</v>
      </c>
      <c r="J34">
        <v>100</v>
      </c>
      <c r="K34">
        <v>0</v>
      </c>
      <c r="L34">
        <v>0</v>
      </c>
      <c r="M34">
        <v>0</v>
      </c>
      <c r="O34" s="53">
        <f t="shared" ref="O34:O65" si="1">SUM(B34:M34)</f>
        <v>12530</v>
      </c>
    </row>
    <row r="35" spans="1:15">
      <c r="A35">
        <v>34</v>
      </c>
      <c r="B35">
        <v>2000</v>
      </c>
      <c r="C35">
        <v>5000</v>
      </c>
      <c r="D35">
        <v>200</v>
      </c>
      <c r="E35">
        <v>5000</v>
      </c>
      <c r="F35">
        <v>0</v>
      </c>
      <c r="G35">
        <v>0</v>
      </c>
      <c r="H35">
        <v>200</v>
      </c>
      <c r="I35">
        <v>5000</v>
      </c>
      <c r="J35">
        <v>200</v>
      </c>
      <c r="K35">
        <v>100</v>
      </c>
      <c r="L35">
        <v>100</v>
      </c>
      <c r="M35">
        <v>200</v>
      </c>
      <c r="O35" s="53">
        <f t="shared" si="1"/>
        <v>18000</v>
      </c>
    </row>
    <row r="36" spans="1:15">
      <c r="A36">
        <v>35</v>
      </c>
      <c r="B36">
        <v>1294</v>
      </c>
      <c r="C36">
        <v>1977</v>
      </c>
      <c r="D36">
        <v>900</v>
      </c>
      <c r="E36">
        <v>0</v>
      </c>
      <c r="F36">
        <v>0</v>
      </c>
      <c r="G36">
        <v>0</v>
      </c>
      <c r="H36">
        <v>995</v>
      </c>
      <c r="I36">
        <v>7603</v>
      </c>
      <c r="J36">
        <v>3002</v>
      </c>
      <c r="K36">
        <v>35</v>
      </c>
      <c r="L36">
        <v>1253</v>
      </c>
      <c r="M36">
        <v>6562</v>
      </c>
      <c r="O36" s="53">
        <f t="shared" si="1"/>
        <v>23621</v>
      </c>
    </row>
    <row r="37" spans="1:15">
      <c r="A37">
        <v>36</v>
      </c>
      <c r="B37">
        <v>1800</v>
      </c>
      <c r="C37">
        <v>1000</v>
      </c>
      <c r="D37">
        <v>1100</v>
      </c>
      <c r="E37">
        <v>8400</v>
      </c>
      <c r="F37">
        <v>100</v>
      </c>
      <c r="G37">
        <v>720</v>
      </c>
      <c r="H37">
        <v>814</v>
      </c>
      <c r="I37">
        <v>13000</v>
      </c>
      <c r="J37">
        <v>400</v>
      </c>
      <c r="K37">
        <v>100</v>
      </c>
      <c r="L37">
        <v>400</v>
      </c>
      <c r="M37">
        <v>900</v>
      </c>
      <c r="O37" s="53">
        <f t="shared" si="1"/>
        <v>28734</v>
      </c>
    </row>
    <row r="38" spans="1:15">
      <c r="A38">
        <v>37</v>
      </c>
      <c r="B38">
        <v>5000</v>
      </c>
      <c r="C38">
        <v>3000</v>
      </c>
      <c r="D38">
        <v>100</v>
      </c>
      <c r="E38">
        <v>1000</v>
      </c>
      <c r="F38">
        <v>170</v>
      </c>
      <c r="G38">
        <v>150</v>
      </c>
      <c r="H38">
        <v>120</v>
      </c>
      <c r="I38">
        <v>10000</v>
      </c>
      <c r="J38">
        <v>0</v>
      </c>
      <c r="K38">
        <v>350</v>
      </c>
      <c r="L38">
        <v>700</v>
      </c>
      <c r="M38">
        <v>1000</v>
      </c>
      <c r="O38" s="53">
        <f t="shared" si="1"/>
        <v>21590</v>
      </c>
    </row>
    <row r="39" spans="1:15">
      <c r="A39">
        <v>38</v>
      </c>
      <c r="B39">
        <v>600</v>
      </c>
      <c r="C39">
        <v>350</v>
      </c>
      <c r="D39">
        <v>150</v>
      </c>
      <c r="E39">
        <v>50</v>
      </c>
      <c r="F39">
        <v>700</v>
      </c>
      <c r="G39">
        <v>0</v>
      </c>
      <c r="H39">
        <v>500</v>
      </c>
      <c r="I39">
        <v>2000</v>
      </c>
      <c r="J39">
        <v>350</v>
      </c>
      <c r="K39">
        <v>0</v>
      </c>
      <c r="L39">
        <v>100</v>
      </c>
      <c r="M39">
        <v>400</v>
      </c>
      <c r="O39" s="53">
        <f t="shared" si="1"/>
        <v>5200</v>
      </c>
    </row>
    <row r="40" spans="1:15">
      <c r="A40">
        <v>39</v>
      </c>
      <c r="B40">
        <v>657</v>
      </c>
      <c r="C40">
        <v>452</v>
      </c>
      <c r="D40">
        <v>840</v>
      </c>
      <c r="E40">
        <v>0</v>
      </c>
      <c r="F40">
        <v>256</v>
      </c>
      <c r="G40">
        <v>600</v>
      </c>
      <c r="H40">
        <v>359</v>
      </c>
      <c r="I40">
        <v>3386</v>
      </c>
      <c r="J40">
        <v>3048</v>
      </c>
      <c r="K40">
        <v>33</v>
      </c>
      <c r="L40">
        <v>338</v>
      </c>
      <c r="M40">
        <v>490</v>
      </c>
      <c r="O40" s="53">
        <f t="shared" si="1"/>
        <v>10459</v>
      </c>
    </row>
    <row r="41" spans="1:15">
      <c r="A41">
        <v>40</v>
      </c>
      <c r="B41">
        <v>3600</v>
      </c>
      <c r="C41">
        <v>1200</v>
      </c>
      <c r="D41">
        <v>2150</v>
      </c>
      <c r="E41">
        <v>0</v>
      </c>
      <c r="F41">
        <v>500</v>
      </c>
      <c r="G41">
        <v>450</v>
      </c>
      <c r="H41">
        <v>200</v>
      </c>
      <c r="I41">
        <v>12000</v>
      </c>
      <c r="J41">
        <v>600</v>
      </c>
      <c r="K41">
        <v>0</v>
      </c>
      <c r="L41">
        <v>500</v>
      </c>
      <c r="M41">
        <v>1000</v>
      </c>
      <c r="O41" s="53">
        <f t="shared" si="1"/>
        <v>22200</v>
      </c>
    </row>
    <row r="42" spans="1:15">
      <c r="A42">
        <v>41</v>
      </c>
      <c r="B42">
        <v>2500</v>
      </c>
      <c r="C42">
        <v>720</v>
      </c>
      <c r="D42">
        <v>523</v>
      </c>
      <c r="E42">
        <v>9000</v>
      </c>
      <c r="F42">
        <v>300</v>
      </c>
      <c r="G42">
        <v>0</v>
      </c>
      <c r="H42">
        <v>500</v>
      </c>
      <c r="I42">
        <v>12000</v>
      </c>
      <c r="J42">
        <v>400</v>
      </c>
      <c r="K42">
        <v>0</v>
      </c>
      <c r="L42">
        <v>250</v>
      </c>
      <c r="M42">
        <v>2500</v>
      </c>
      <c r="O42" s="53">
        <f t="shared" si="1"/>
        <v>28693</v>
      </c>
    </row>
    <row r="43" spans="1:15">
      <c r="A43">
        <v>42</v>
      </c>
      <c r="B43">
        <v>2500</v>
      </c>
      <c r="C43">
        <v>3300</v>
      </c>
      <c r="D43">
        <v>1000</v>
      </c>
      <c r="E43">
        <v>13000</v>
      </c>
      <c r="F43">
        <v>11000</v>
      </c>
      <c r="G43">
        <v>800</v>
      </c>
      <c r="H43">
        <v>600</v>
      </c>
      <c r="I43">
        <v>12000</v>
      </c>
      <c r="J43">
        <v>300</v>
      </c>
      <c r="K43">
        <v>0</v>
      </c>
      <c r="L43">
        <v>900</v>
      </c>
      <c r="M43">
        <v>3000</v>
      </c>
      <c r="O43" s="53">
        <f t="shared" si="1"/>
        <v>48400</v>
      </c>
    </row>
    <row r="44" spans="1:15">
      <c r="A44">
        <v>43</v>
      </c>
      <c r="B44">
        <v>2604</v>
      </c>
      <c r="C44">
        <v>1302</v>
      </c>
      <c r="D44">
        <v>3518</v>
      </c>
      <c r="E44">
        <v>1407</v>
      </c>
      <c r="F44">
        <v>0</v>
      </c>
      <c r="G44">
        <v>521</v>
      </c>
      <c r="H44">
        <v>245</v>
      </c>
      <c r="I44">
        <v>5905</v>
      </c>
      <c r="J44">
        <v>260</v>
      </c>
      <c r="K44">
        <v>0</v>
      </c>
      <c r="L44">
        <v>760</v>
      </c>
      <c r="M44">
        <v>590</v>
      </c>
      <c r="O44" s="53">
        <f t="shared" si="1"/>
        <v>17112</v>
      </c>
    </row>
    <row r="45" spans="1:15">
      <c r="A45">
        <v>44</v>
      </c>
      <c r="B45">
        <v>950</v>
      </c>
      <c r="C45">
        <v>1200</v>
      </c>
      <c r="D45">
        <v>1600</v>
      </c>
      <c r="E45">
        <v>3000</v>
      </c>
      <c r="F45">
        <v>3000</v>
      </c>
      <c r="G45">
        <v>800</v>
      </c>
      <c r="H45">
        <v>3000</v>
      </c>
      <c r="I45">
        <v>7000</v>
      </c>
      <c r="J45">
        <v>900</v>
      </c>
      <c r="K45">
        <v>0</v>
      </c>
      <c r="L45">
        <v>1200</v>
      </c>
      <c r="M45">
        <v>2000</v>
      </c>
      <c r="O45" s="53">
        <f t="shared" si="1"/>
        <v>24650</v>
      </c>
    </row>
    <row r="46" spans="1:15">
      <c r="A46">
        <v>45</v>
      </c>
      <c r="B46">
        <v>3600</v>
      </c>
      <c r="C46">
        <v>1500</v>
      </c>
      <c r="D46">
        <v>1500</v>
      </c>
      <c r="E46">
        <v>14400</v>
      </c>
      <c r="F46">
        <v>3000</v>
      </c>
      <c r="G46">
        <v>800</v>
      </c>
      <c r="H46">
        <v>500</v>
      </c>
      <c r="I46">
        <v>8000</v>
      </c>
      <c r="J46">
        <v>1000</v>
      </c>
      <c r="K46">
        <v>0</v>
      </c>
      <c r="L46">
        <v>800</v>
      </c>
      <c r="M46">
        <v>1000</v>
      </c>
      <c r="O46" s="53">
        <f t="shared" si="1"/>
        <v>36100</v>
      </c>
    </row>
    <row r="47" spans="1:15">
      <c r="A47">
        <v>46</v>
      </c>
      <c r="B47">
        <v>400</v>
      </c>
      <c r="C47">
        <v>100</v>
      </c>
      <c r="D47">
        <v>200</v>
      </c>
      <c r="E47">
        <v>3750</v>
      </c>
      <c r="F47">
        <v>75</v>
      </c>
      <c r="G47">
        <v>130</v>
      </c>
      <c r="H47">
        <v>120</v>
      </c>
      <c r="I47">
        <v>12000</v>
      </c>
      <c r="J47">
        <v>200</v>
      </c>
      <c r="K47">
        <v>0</v>
      </c>
      <c r="L47">
        <v>80</v>
      </c>
      <c r="M47">
        <v>75</v>
      </c>
      <c r="O47" s="53">
        <f t="shared" si="1"/>
        <v>17130</v>
      </c>
    </row>
    <row r="48" spans="1:15">
      <c r="A48">
        <v>47</v>
      </c>
      <c r="B48">
        <v>6000</v>
      </c>
      <c r="C48">
        <v>4000</v>
      </c>
      <c r="D48">
        <v>300</v>
      </c>
      <c r="E48">
        <v>7200</v>
      </c>
      <c r="F48">
        <v>1200</v>
      </c>
      <c r="G48">
        <v>900</v>
      </c>
      <c r="H48">
        <v>450</v>
      </c>
      <c r="I48">
        <v>8500</v>
      </c>
      <c r="J48">
        <v>375</v>
      </c>
      <c r="K48">
        <v>0</v>
      </c>
      <c r="L48">
        <v>400</v>
      </c>
      <c r="M48">
        <v>3000</v>
      </c>
      <c r="O48" s="53">
        <f t="shared" si="1"/>
        <v>32325</v>
      </c>
    </row>
    <row r="49" spans="1:15">
      <c r="A49">
        <v>48</v>
      </c>
      <c r="B49">
        <v>3600</v>
      </c>
      <c r="C49">
        <v>1800</v>
      </c>
      <c r="D49">
        <v>2000</v>
      </c>
      <c r="E49">
        <v>8000</v>
      </c>
      <c r="F49">
        <v>3500</v>
      </c>
      <c r="G49">
        <v>1000</v>
      </c>
      <c r="H49">
        <v>600</v>
      </c>
      <c r="I49">
        <v>9520</v>
      </c>
      <c r="J49">
        <v>300</v>
      </c>
      <c r="K49">
        <v>0</v>
      </c>
      <c r="L49">
        <v>600</v>
      </c>
      <c r="M49">
        <v>2400</v>
      </c>
      <c r="O49" s="53">
        <f t="shared" si="1"/>
        <v>33320</v>
      </c>
    </row>
    <row r="50" spans="1:15">
      <c r="A50">
        <v>49</v>
      </c>
      <c r="B50">
        <v>2500</v>
      </c>
      <c r="C50">
        <v>1800</v>
      </c>
      <c r="D50">
        <v>3400</v>
      </c>
      <c r="E50">
        <v>16850</v>
      </c>
      <c r="F50">
        <v>2850</v>
      </c>
      <c r="G50">
        <v>1500</v>
      </c>
      <c r="H50">
        <v>1370</v>
      </c>
      <c r="I50">
        <v>8670</v>
      </c>
      <c r="J50">
        <v>470</v>
      </c>
      <c r="K50">
        <v>625</v>
      </c>
      <c r="L50">
        <v>850</v>
      </c>
      <c r="M50">
        <v>720</v>
      </c>
      <c r="O50" s="53">
        <f t="shared" si="1"/>
        <v>41605</v>
      </c>
    </row>
    <row r="51" spans="1:15">
      <c r="A51">
        <v>50</v>
      </c>
      <c r="B51">
        <v>5400</v>
      </c>
      <c r="C51">
        <v>70</v>
      </c>
      <c r="D51">
        <v>50</v>
      </c>
      <c r="E51">
        <v>2780</v>
      </c>
      <c r="F51">
        <v>1700</v>
      </c>
      <c r="G51">
        <v>810</v>
      </c>
      <c r="H51">
        <v>0</v>
      </c>
      <c r="I51">
        <v>6700</v>
      </c>
      <c r="J51">
        <v>800</v>
      </c>
      <c r="K51">
        <v>30</v>
      </c>
      <c r="L51">
        <v>300</v>
      </c>
      <c r="M51">
        <v>450</v>
      </c>
      <c r="O51" s="53">
        <f t="shared" si="1"/>
        <v>19090</v>
      </c>
    </row>
    <row r="52" spans="1:15">
      <c r="A52">
        <v>51</v>
      </c>
      <c r="B52">
        <v>2500</v>
      </c>
      <c r="C52">
        <v>500</v>
      </c>
      <c r="D52">
        <v>180</v>
      </c>
      <c r="E52">
        <v>19000</v>
      </c>
      <c r="F52">
        <v>950</v>
      </c>
      <c r="G52">
        <v>520</v>
      </c>
      <c r="H52">
        <v>335</v>
      </c>
      <c r="I52">
        <v>10000</v>
      </c>
      <c r="J52">
        <v>500</v>
      </c>
      <c r="K52">
        <v>0</v>
      </c>
      <c r="L52">
        <v>90</v>
      </c>
      <c r="M52">
        <v>1500</v>
      </c>
      <c r="O52" s="53">
        <f t="shared" si="1"/>
        <v>36075</v>
      </c>
    </row>
    <row r="53" spans="1:15">
      <c r="A53">
        <v>52</v>
      </c>
      <c r="B53">
        <v>800</v>
      </c>
      <c r="C53">
        <v>600</v>
      </c>
      <c r="D53">
        <v>100</v>
      </c>
      <c r="E53">
        <v>0</v>
      </c>
      <c r="F53">
        <v>0</v>
      </c>
      <c r="G53">
        <v>0</v>
      </c>
      <c r="H53">
        <v>500</v>
      </c>
      <c r="I53">
        <v>5000</v>
      </c>
      <c r="J53">
        <v>500</v>
      </c>
      <c r="K53">
        <v>500</v>
      </c>
      <c r="L53">
        <v>200</v>
      </c>
      <c r="M53">
        <v>500</v>
      </c>
      <c r="O53" s="53">
        <f t="shared" si="1"/>
        <v>8700</v>
      </c>
    </row>
    <row r="54" spans="1:15">
      <c r="A54">
        <v>53</v>
      </c>
      <c r="B54">
        <v>1000</v>
      </c>
      <c r="C54">
        <v>700</v>
      </c>
      <c r="D54">
        <v>1000</v>
      </c>
      <c r="E54">
        <v>0</v>
      </c>
      <c r="F54">
        <v>800</v>
      </c>
      <c r="G54">
        <v>900</v>
      </c>
      <c r="H54">
        <v>450</v>
      </c>
      <c r="I54">
        <v>7000</v>
      </c>
      <c r="J54">
        <v>100</v>
      </c>
      <c r="K54">
        <v>0</v>
      </c>
      <c r="L54">
        <v>300</v>
      </c>
      <c r="M54">
        <v>2000</v>
      </c>
      <c r="O54" s="53">
        <f t="shared" si="1"/>
        <v>14250</v>
      </c>
    </row>
    <row r="55" spans="1:15">
      <c r="A55">
        <v>54</v>
      </c>
      <c r="B55">
        <v>1200</v>
      </c>
      <c r="C55">
        <v>300</v>
      </c>
      <c r="D55">
        <v>120</v>
      </c>
      <c r="E55">
        <v>0</v>
      </c>
      <c r="F55">
        <v>400</v>
      </c>
      <c r="G55">
        <v>200</v>
      </c>
      <c r="H55">
        <v>270</v>
      </c>
      <c r="I55">
        <v>12000</v>
      </c>
      <c r="J55">
        <v>100</v>
      </c>
      <c r="K55">
        <v>0</v>
      </c>
      <c r="L55">
        <v>500</v>
      </c>
      <c r="M55">
        <v>500</v>
      </c>
      <c r="O55" s="53">
        <f t="shared" si="1"/>
        <v>15590</v>
      </c>
    </row>
    <row r="56" spans="1:15">
      <c r="A56">
        <v>55</v>
      </c>
      <c r="B56">
        <v>550</v>
      </c>
      <c r="C56">
        <v>80</v>
      </c>
      <c r="D56">
        <v>150</v>
      </c>
      <c r="E56">
        <v>0</v>
      </c>
      <c r="F56">
        <v>3000</v>
      </c>
      <c r="G56">
        <v>0</v>
      </c>
      <c r="H56">
        <v>2000</v>
      </c>
      <c r="I56">
        <v>5000</v>
      </c>
      <c r="J56">
        <v>920</v>
      </c>
      <c r="K56">
        <v>0</v>
      </c>
      <c r="L56">
        <v>600</v>
      </c>
      <c r="M56">
        <v>300</v>
      </c>
      <c r="O56" s="53">
        <f t="shared" si="1"/>
        <v>12600</v>
      </c>
    </row>
    <row r="57" spans="1:15">
      <c r="A57">
        <v>56</v>
      </c>
      <c r="B57">
        <v>500</v>
      </c>
      <c r="C57">
        <v>265</v>
      </c>
      <c r="D57">
        <v>500</v>
      </c>
      <c r="E57">
        <v>2800</v>
      </c>
      <c r="F57">
        <v>100</v>
      </c>
      <c r="G57">
        <v>120</v>
      </c>
      <c r="H57">
        <v>35</v>
      </c>
      <c r="I57">
        <v>10378</v>
      </c>
      <c r="J57">
        <v>800</v>
      </c>
      <c r="K57">
        <v>0</v>
      </c>
      <c r="L57">
        <v>303</v>
      </c>
      <c r="M57">
        <v>1000</v>
      </c>
      <c r="O57" s="53">
        <f t="shared" si="1"/>
        <v>16801</v>
      </c>
    </row>
    <row r="58" spans="1:15">
      <c r="A58">
        <v>57</v>
      </c>
      <c r="B58">
        <v>1560</v>
      </c>
      <c r="C58">
        <v>244</v>
      </c>
      <c r="D58">
        <v>187</v>
      </c>
      <c r="E58">
        <v>4645</v>
      </c>
      <c r="F58">
        <v>400</v>
      </c>
      <c r="G58">
        <v>322</v>
      </c>
      <c r="H58">
        <v>168</v>
      </c>
      <c r="I58">
        <v>10321</v>
      </c>
      <c r="J58">
        <v>125</v>
      </c>
      <c r="K58">
        <v>0</v>
      </c>
      <c r="L58">
        <v>644</v>
      </c>
      <c r="M58">
        <v>576</v>
      </c>
      <c r="O58" s="53">
        <f t="shared" si="1"/>
        <v>19192</v>
      </c>
    </row>
    <row r="59" spans="1:15">
      <c r="A59">
        <v>58</v>
      </c>
      <c r="B59">
        <v>480</v>
      </c>
      <c r="C59">
        <v>720</v>
      </c>
      <c r="D59">
        <v>600</v>
      </c>
      <c r="E59">
        <v>1085</v>
      </c>
      <c r="F59">
        <v>100</v>
      </c>
      <c r="G59">
        <v>0</v>
      </c>
      <c r="H59">
        <v>900</v>
      </c>
      <c r="I59">
        <v>70</v>
      </c>
      <c r="J59">
        <v>50</v>
      </c>
      <c r="K59">
        <v>0</v>
      </c>
      <c r="L59">
        <v>150</v>
      </c>
      <c r="M59">
        <v>850</v>
      </c>
      <c r="O59" s="53">
        <f t="shared" si="1"/>
        <v>5005</v>
      </c>
    </row>
    <row r="60" spans="1:15">
      <c r="A60">
        <v>59</v>
      </c>
      <c r="B60">
        <v>2400</v>
      </c>
      <c r="C60">
        <v>960</v>
      </c>
      <c r="D60">
        <v>400</v>
      </c>
      <c r="E60">
        <v>0</v>
      </c>
      <c r="F60">
        <v>0</v>
      </c>
      <c r="G60">
        <v>0</v>
      </c>
      <c r="H60">
        <v>350</v>
      </c>
      <c r="I60">
        <v>0</v>
      </c>
      <c r="J60">
        <v>120</v>
      </c>
      <c r="K60">
        <v>0</v>
      </c>
      <c r="L60">
        <v>600</v>
      </c>
      <c r="M60">
        <v>2500</v>
      </c>
      <c r="O60" s="53">
        <f t="shared" si="1"/>
        <v>7330</v>
      </c>
    </row>
    <row r="61" spans="1:15">
      <c r="A61">
        <v>60</v>
      </c>
      <c r="B61">
        <v>50</v>
      </c>
      <c r="C61">
        <v>200</v>
      </c>
      <c r="D61">
        <v>100</v>
      </c>
      <c r="E61">
        <v>0</v>
      </c>
      <c r="F61">
        <v>0</v>
      </c>
      <c r="G61">
        <v>0</v>
      </c>
      <c r="H61">
        <v>84</v>
      </c>
      <c r="I61">
        <v>0</v>
      </c>
      <c r="J61">
        <v>30</v>
      </c>
      <c r="K61">
        <v>0</v>
      </c>
      <c r="L61">
        <v>180</v>
      </c>
      <c r="M61">
        <v>400</v>
      </c>
      <c r="O61" s="53">
        <f t="shared" si="1"/>
        <v>1044</v>
      </c>
    </row>
    <row r="62" spans="1:15">
      <c r="A62">
        <v>61</v>
      </c>
      <c r="B62">
        <v>2400</v>
      </c>
      <c r="C62">
        <v>10800</v>
      </c>
      <c r="D62">
        <v>600</v>
      </c>
      <c r="E62">
        <v>12000</v>
      </c>
      <c r="F62">
        <v>800</v>
      </c>
      <c r="G62">
        <v>420</v>
      </c>
      <c r="H62">
        <v>670</v>
      </c>
      <c r="I62">
        <v>14000</v>
      </c>
      <c r="J62">
        <v>600</v>
      </c>
      <c r="K62">
        <v>850</v>
      </c>
      <c r="L62">
        <v>12000</v>
      </c>
      <c r="M62">
        <v>3568</v>
      </c>
      <c r="O62" s="53">
        <f t="shared" si="1"/>
        <v>58708</v>
      </c>
    </row>
    <row r="63" spans="1:15">
      <c r="A63">
        <v>62</v>
      </c>
      <c r="B63">
        <v>1000</v>
      </c>
      <c r="C63">
        <v>2000</v>
      </c>
      <c r="D63">
        <v>1000</v>
      </c>
      <c r="E63">
        <v>0</v>
      </c>
      <c r="F63">
        <v>0</v>
      </c>
      <c r="G63">
        <v>0</v>
      </c>
      <c r="H63">
        <v>500</v>
      </c>
      <c r="I63">
        <v>8000</v>
      </c>
      <c r="J63">
        <v>400</v>
      </c>
      <c r="K63">
        <v>2500</v>
      </c>
      <c r="L63">
        <v>0</v>
      </c>
      <c r="M63">
        <v>1000</v>
      </c>
      <c r="O63" s="53">
        <f t="shared" si="1"/>
        <v>16400</v>
      </c>
    </row>
    <row r="64" spans="1:15">
      <c r="A64">
        <v>63</v>
      </c>
      <c r="B64">
        <v>3000</v>
      </c>
      <c r="C64">
        <v>600</v>
      </c>
      <c r="D64">
        <v>1200</v>
      </c>
      <c r="E64">
        <v>6000</v>
      </c>
      <c r="F64">
        <v>1000</v>
      </c>
      <c r="G64">
        <v>600</v>
      </c>
      <c r="H64">
        <v>200</v>
      </c>
      <c r="I64">
        <v>12000</v>
      </c>
      <c r="J64">
        <v>400</v>
      </c>
      <c r="K64">
        <v>0</v>
      </c>
      <c r="L64">
        <v>500</v>
      </c>
      <c r="M64">
        <v>600</v>
      </c>
      <c r="O64" s="53">
        <f t="shared" si="1"/>
        <v>26100</v>
      </c>
    </row>
    <row r="65" spans="1:15">
      <c r="A65">
        <v>64</v>
      </c>
      <c r="B65">
        <v>3600</v>
      </c>
      <c r="C65">
        <v>1700</v>
      </c>
      <c r="D65">
        <v>45</v>
      </c>
      <c r="E65">
        <v>9768</v>
      </c>
      <c r="F65">
        <v>100</v>
      </c>
      <c r="G65">
        <v>660</v>
      </c>
      <c r="H65">
        <v>260</v>
      </c>
      <c r="I65">
        <v>12000</v>
      </c>
      <c r="J65">
        <v>200</v>
      </c>
      <c r="K65">
        <v>0</v>
      </c>
      <c r="L65">
        <v>100</v>
      </c>
      <c r="M65">
        <v>400</v>
      </c>
      <c r="O65" s="53">
        <f t="shared" si="1"/>
        <v>28833</v>
      </c>
    </row>
    <row r="66" spans="1:15">
      <c r="A66">
        <v>65</v>
      </c>
      <c r="B66">
        <v>1500</v>
      </c>
      <c r="C66">
        <v>5000</v>
      </c>
      <c r="D66">
        <v>600</v>
      </c>
      <c r="E66">
        <v>18000</v>
      </c>
      <c r="F66">
        <v>10000</v>
      </c>
      <c r="G66">
        <v>480</v>
      </c>
      <c r="H66">
        <v>500</v>
      </c>
      <c r="I66">
        <v>14000</v>
      </c>
      <c r="J66">
        <v>300</v>
      </c>
      <c r="K66">
        <v>100</v>
      </c>
      <c r="L66">
        <v>500</v>
      </c>
      <c r="M66">
        <v>2000</v>
      </c>
      <c r="O66" s="53">
        <f t="shared" ref="O66:O97" si="2">SUM(B66:M66)</f>
        <v>52980</v>
      </c>
    </row>
    <row r="67" spans="1:15">
      <c r="A67">
        <v>66</v>
      </c>
      <c r="B67">
        <v>5000</v>
      </c>
      <c r="C67">
        <v>300</v>
      </c>
      <c r="D67">
        <v>606</v>
      </c>
      <c r="E67">
        <v>5233</v>
      </c>
      <c r="F67">
        <v>825</v>
      </c>
      <c r="G67">
        <v>494</v>
      </c>
      <c r="H67">
        <v>1395</v>
      </c>
      <c r="I67">
        <v>10116</v>
      </c>
      <c r="J67">
        <v>350</v>
      </c>
      <c r="K67">
        <v>0</v>
      </c>
      <c r="L67">
        <v>1770</v>
      </c>
      <c r="M67">
        <v>2000</v>
      </c>
      <c r="O67" s="53">
        <f t="shared" si="2"/>
        <v>28089</v>
      </c>
    </row>
    <row r="68" spans="1:15">
      <c r="A68">
        <v>67</v>
      </c>
      <c r="B68">
        <v>3800</v>
      </c>
      <c r="C68">
        <v>2500</v>
      </c>
      <c r="D68">
        <v>1000</v>
      </c>
      <c r="E68">
        <v>3800</v>
      </c>
      <c r="F68">
        <v>200</v>
      </c>
      <c r="G68">
        <v>350</v>
      </c>
      <c r="H68">
        <v>1100</v>
      </c>
      <c r="I68">
        <v>6800</v>
      </c>
      <c r="J68">
        <v>320</v>
      </c>
      <c r="K68">
        <v>500</v>
      </c>
      <c r="L68">
        <v>35</v>
      </c>
      <c r="M68">
        <v>150</v>
      </c>
      <c r="O68" s="53">
        <f t="shared" si="2"/>
        <v>20555</v>
      </c>
    </row>
    <row r="69" spans="1:15">
      <c r="A69">
        <v>68</v>
      </c>
      <c r="B69">
        <v>8500</v>
      </c>
      <c r="C69">
        <v>100</v>
      </c>
      <c r="D69">
        <v>0</v>
      </c>
      <c r="E69">
        <v>0</v>
      </c>
      <c r="F69">
        <v>300</v>
      </c>
      <c r="G69">
        <v>1200</v>
      </c>
      <c r="H69">
        <v>100</v>
      </c>
      <c r="I69">
        <v>2600</v>
      </c>
      <c r="J69">
        <v>400</v>
      </c>
      <c r="K69">
        <v>0</v>
      </c>
      <c r="L69">
        <v>200</v>
      </c>
      <c r="M69">
        <v>500</v>
      </c>
      <c r="O69" s="53">
        <f t="shared" si="2"/>
        <v>13900</v>
      </c>
    </row>
    <row r="70" spans="1:15">
      <c r="A70">
        <v>69</v>
      </c>
      <c r="B70">
        <v>1323</v>
      </c>
      <c r="C70">
        <v>2300</v>
      </c>
      <c r="D70">
        <v>300</v>
      </c>
      <c r="E70">
        <v>3000</v>
      </c>
      <c r="F70">
        <v>1500</v>
      </c>
      <c r="G70">
        <v>450</v>
      </c>
      <c r="H70">
        <v>200</v>
      </c>
      <c r="I70">
        <v>8500</v>
      </c>
      <c r="J70">
        <v>470</v>
      </c>
      <c r="K70">
        <v>450</v>
      </c>
      <c r="L70">
        <v>250</v>
      </c>
      <c r="M70">
        <v>800</v>
      </c>
      <c r="O70" s="53">
        <f t="shared" si="2"/>
        <v>19543</v>
      </c>
    </row>
    <row r="71" spans="1:15">
      <c r="A71">
        <v>70</v>
      </c>
      <c r="B71">
        <v>3000</v>
      </c>
      <c r="C71">
        <v>500</v>
      </c>
      <c r="D71">
        <v>50</v>
      </c>
      <c r="E71">
        <v>4200</v>
      </c>
      <c r="F71">
        <v>250</v>
      </c>
      <c r="G71">
        <v>600</v>
      </c>
      <c r="H71">
        <v>1000</v>
      </c>
      <c r="I71">
        <v>4000</v>
      </c>
      <c r="J71">
        <v>0</v>
      </c>
      <c r="K71">
        <v>0</v>
      </c>
      <c r="L71">
        <v>0</v>
      </c>
      <c r="M71">
        <v>500</v>
      </c>
      <c r="O71" s="53">
        <f t="shared" si="2"/>
        <v>14100</v>
      </c>
    </row>
    <row r="72" spans="1:15">
      <c r="A72">
        <v>71</v>
      </c>
      <c r="B72">
        <v>250</v>
      </c>
      <c r="C72">
        <v>400</v>
      </c>
      <c r="D72">
        <v>100</v>
      </c>
      <c r="E72">
        <v>0</v>
      </c>
      <c r="F72">
        <v>3360</v>
      </c>
      <c r="G72">
        <v>1520</v>
      </c>
      <c r="H72">
        <v>250</v>
      </c>
      <c r="I72">
        <v>2980</v>
      </c>
      <c r="J72">
        <v>310</v>
      </c>
      <c r="K72">
        <v>0</v>
      </c>
      <c r="L72">
        <v>1900</v>
      </c>
      <c r="M72">
        <v>990</v>
      </c>
      <c r="O72" s="53">
        <f t="shared" si="2"/>
        <v>12060</v>
      </c>
    </row>
    <row r="73" spans="1:15">
      <c r="A73">
        <v>72</v>
      </c>
      <c r="B73">
        <v>12000</v>
      </c>
      <c r="C73">
        <v>2000</v>
      </c>
      <c r="D73">
        <v>6000</v>
      </c>
      <c r="E73">
        <v>7000</v>
      </c>
      <c r="F73">
        <v>8500</v>
      </c>
      <c r="G73">
        <v>1200</v>
      </c>
      <c r="H73">
        <v>1550</v>
      </c>
      <c r="I73">
        <v>17000</v>
      </c>
      <c r="J73">
        <v>500</v>
      </c>
      <c r="K73">
        <v>170</v>
      </c>
      <c r="L73">
        <v>770</v>
      </c>
      <c r="M73">
        <v>4000</v>
      </c>
      <c r="O73" s="53">
        <f t="shared" si="2"/>
        <v>60690</v>
      </c>
    </row>
    <row r="74" spans="1:15">
      <c r="A74">
        <v>73</v>
      </c>
      <c r="B74">
        <v>60</v>
      </c>
      <c r="C74">
        <v>180</v>
      </c>
      <c r="D74">
        <v>0</v>
      </c>
      <c r="E74">
        <v>0</v>
      </c>
      <c r="F74">
        <v>0</v>
      </c>
      <c r="G74">
        <v>0</v>
      </c>
      <c r="H74">
        <v>420</v>
      </c>
      <c r="I74">
        <v>3700</v>
      </c>
      <c r="J74">
        <v>0</v>
      </c>
      <c r="K74">
        <v>100</v>
      </c>
      <c r="L74">
        <v>0</v>
      </c>
      <c r="M74">
        <v>200</v>
      </c>
      <c r="O74" s="53">
        <f t="shared" si="2"/>
        <v>4660</v>
      </c>
    </row>
    <row r="75" spans="1:15">
      <c r="A75">
        <v>74</v>
      </c>
      <c r="B75">
        <v>4000</v>
      </c>
      <c r="C75">
        <v>1300</v>
      </c>
      <c r="D75">
        <v>1000</v>
      </c>
      <c r="E75">
        <v>8000</v>
      </c>
      <c r="F75">
        <v>300</v>
      </c>
      <c r="G75">
        <v>1200</v>
      </c>
      <c r="H75">
        <v>150</v>
      </c>
      <c r="I75">
        <v>50</v>
      </c>
      <c r="J75">
        <v>850</v>
      </c>
      <c r="K75">
        <v>100</v>
      </c>
      <c r="L75">
        <v>900</v>
      </c>
      <c r="M75">
        <v>1700</v>
      </c>
      <c r="O75" s="53">
        <f t="shared" si="2"/>
        <v>19550</v>
      </c>
    </row>
    <row r="76" spans="1:15">
      <c r="A76">
        <v>75</v>
      </c>
      <c r="B76">
        <v>800</v>
      </c>
      <c r="C76">
        <v>4500</v>
      </c>
      <c r="D76">
        <v>200</v>
      </c>
      <c r="E76">
        <v>0</v>
      </c>
      <c r="F76">
        <v>100</v>
      </c>
      <c r="G76">
        <v>500</v>
      </c>
      <c r="H76">
        <v>400</v>
      </c>
      <c r="I76">
        <v>12000</v>
      </c>
      <c r="J76">
        <v>500</v>
      </c>
      <c r="K76">
        <v>0</v>
      </c>
      <c r="L76">
        <v>1000</v>
      </c>
      <c r="M76">
        <v>1000</v>
      </c>
      <c r="O76" s="53">
        <f t="shared" si="2"/>
        <v>21000</v>
      </c>
    </row>
    <row r="77" spans="1:15">
      <c r="A77">
        <v>76</v>
      </c>
      <c r="B77">
        <v>100</v>
      </c>
      <c r="C77">
        <v>98</v>
      </c>
      <c r="D77">
        <v>58</v>
      </c>
      <c r="E77">
        <v>0</v>
      </c>
      <c r="F77">
        <v>124</v>
      </c>
      <c r="G77">
        <v>400</v>
      </c>
      <c r="H77">
        <v>228</v>
      </c>
      <c r="I77">
        <v>5200</v>
      </c>
      <c r="J77">
        <v>228</v>
      </c>
      <c r="K77">
        <v>0</v>
      </c>
      <c r="L77">
        <v>0</v>
      </c>
      <c r="M77">
        <v>188</v>
      </c>
      <c r="O77" s="53">
        <f t="shared" si="2"/>
        <v>6624</v>
      </c>
    </row>
    <row r="78" spans="1:15">
      <c r="A78">
        <v>77</v>
      </c>
      <c r="B78">
        <v>20000</v>
      </c>
      <c r="C78">
        <v>747</v>
      </c>
      <c r="D78">
        <v>406</v>
      </c>
      <c r="E78">
        <v>0</v>
      </c>
      <c r="F78">
        <v>1005</v>
      </c>
      <c r="G78">
        <v>836</v>
      </c>
      <c r="H78">
        <v>190</v>
      </c>
      <c r="I78">
        <v>10669</v>
      </c>
      <c r="J78">
        <v>415</v>
      </c>
      <c r="K78">
        <v>0</v>
      </c>
      <c r="L78">
        <v>1016</v>
      </c>
      <c r="M78">
        <v>1241</v>
      </c>
      <c r="O78" s="53">
        <f t="shared" si="2"/>
        <v>36525</v>
      </c>
    </row>
    <row r="79" spans="1:15">
      <c r="A79">
        <v>78</v>
      </c>
      <c r="B79">
        <v>3600</v>
      </c>
      <c r="C79">
        <v>400</v>
      </c>
      <c r="D79">
        <v>450</v>
      </c>
      <c r="E79">
        <v>7200</v>
      </c>
      <c r="F79">
        <v>2500</v>
      </c>
      <c r="G79">
        <v>540</v>
      </c>
      <c r="H79">
        <v>250</v>
      </c>
      <c r="I79">
        <v>12545</v>
      </c>
      <c r="J79">
        <v>350</v>
      </c>
      <c r="K79">
        <v>0</v>
      </c>
      <c r="L79">
        <v>350</v>
      </c>
      <c r="M79">
        <v>600</v>
      </c>
      <c r="O79" s="53">
        <f t="shared" si="2"/>
        <v>28785</v>
      </c>
    </row>
    <row r="80" spans="1:15">
      <c r="A80">
        <v>79</v>
      </c>
      <c r="B80">
        <v>3600</v>
      </c>
      <c r="C80">
        <v>800</v>
      </c>
      <c r="D80">
        <v>400</v>
      </c>
      <c r="E80">
        <v>9600</v>
      </c>
      <c r="F80">
        <v>200</v>
      </c>
      <c r="G80">
        <v>0</v>
      </c>
      <c r="H80">
        <v>500</v>
      </c>
      <c r="I80">
        <v>8000</v>
      </c>
      <c r="J80">
        <v>700</v>
      </c>
      <c r="K80">
        <v>250</v>
      </c>
      <c r="L80">
        <v>5500</v>
      </c>
      <c r="M80">
        <v>500</v>
      </c>
      <c r="O80" s="53">
        <f t="shared" si="2"/>
        <v>30050</v>
      </c>
    </row>
    <row r="81" spans="1:15">
      <c r="A81">
        <v>80</v>
      </c>
      <c r="B81">
        <v>550</v>
      </c>
      <c r="C81">
        <v>600</v>
      </c>
      <c r="D81">
        <v>700</v>
      </c>
      <c r="E81">
        <v>3600</v>
      </c>
      <c r="F81">
        <v>0</v>
      </c>
      <c r="G81">
        <v>0</v>
      </c>
      <c r="H81">
        <v>105</v>
      </c>
      <c r="I81">
        <v>3044</v>
      </c>
      <c r="J81">
        <v>2000</v>
      </c>
      <c r="K81">
        <v>0</v>
      </c>
      <c r="L81">
        <v>600</v>
      </c>
      <c r="M81">
        <v>1800</v>
      </c>
      <c r="O81" s="53">
        <f t="shared" si="2"/>
        <v>12999</v>
      </c>
    </row>
    <row r="82" spans="1:15">
      <c r="A82">
        <v>81</v>
      </c>
      <c r="B82">
        <v>890</v>
      </c>
      <c r="C82">
        <v>370</v>
      </c>
      <c r="D82">
        <v>317</v>
      </c>
      <c r="E82">
        <v>0</v>
      </c>
      <c r="F82">
        <v>0</v>
      </c>
      <c r="G82">
        <v>15</v>
      </c>
      <c r="H82">
        <v>138</v>
      </c>
      <c r="I82">
        <v>265</v>
      </c>
      <c r="J82">
        <v>148</v>
      </c>
      <c r="K82">
        <v>0</v>
      </c>
      <c r="L82">
        <v>250</v>
      </c>
      <c r="M82">
        <v>900</v>
      </c>
      <c r="O82" s="53">
        <f t="shared" si="2"/>
        <v>3293</v>
      </c>
    </row>
    <row r="83" spans="1:15">
      <c r="A83">
        <v>82</v>
      </c>
      <c r="B83">
        <v>3500</v>
      </c>
      <c r="C83">
        <v>250</v>
      </c>
      <c r="D83">
        <v>500</v>
      </c>
      <c r="E83">
        <v>10000</v>
      </c>
      <c r="F83">
        <v>6000</v>
      </c>
      <c r="G83">
        <v>750</v>
      </c>
      <c r="H83">
        <v>300</v>
      </c>
      <c r="I83">
        <v>5500</v>
      </c>
      <c r="J83">
        <v>300</v>
      </c>
      <c r="K83">
        <v>300</v>
      </c>
      <c r="L83">
        <v>350</v>
      </c>
      <c r="M83">
        <v>500</v>
      </c>
      <c r="O83" s="53">
        <f t="shared" si="2"/>
        <v>28250</v>
      </c>
    </row>
    <row r="84" spans="1:15">
      <c r="A84">
        <v>83</v>
      </c>
      <c r="B84">
        <v>433</v>
      </c>
      <c r="C84">
        <v>1639</v>
      </c>
      <c r="D84">
        <v>4631</v>
      </c>
      <c r="E84">
        <v>0</v>
      </c>
      <c r="F84">
        <v>0</v>
      </c>
      <c r="G84">
        <v>0</v>
      </c>
      <c r="H84">
        <v>852</v>
      </c>
      <c r="I84">
        <v>6000</v>
      </c>
      <c r="J84">
        <v>100</v>
      </c>
      <c r="K84">
        <v>500</v>
      </c>
      <c r="L84">
        <v>311</v>
      </c>
      <c r="M84">
        <v>160</v>
      </c>
      <c r="O84" s="53">
        <f t="shared" si="2"/>
        <v>14626</v>
      </c>
    </row>
    <row r="85" spans="1:15">
      <c r="A85">
        <v>84</v>
      </c>
      <c r="B85">
        <v>500</v>
      </c>
      <c r="C85">
        <v>200</v>
      </c>
      <c r="D85">
        <v>400</v>
      </c>
      <c r="E85">
        <v>1400</v>
      </c>
      <c r="F85">
        <v>150</v>
      </c>
      <c r="G85">
        <v>600</v>
      </c>
      <c r="H85">
        <v>150</v>
      </c>
      <c r="I85">
        <v>4000</v>
      </c>
      <c r="J85">
        <v>100</v>
      </c>
      <c r="K85">
        <v>0</v>
      </c>
      <c r="L85">
        <v>250</v>
      </c>
      <c r="M85">
        <v>500</v>
      </c>
      <c r="O85" s="53">
        <f t="shared" si="2"/>
        <v>8250</v>
      </c>
    </row>
    <row r="86" spans="1:15">
      <c r="A86">
        <v>85</v>
      </c>
      <c r="B86">
        <v>3000</v>
      </c>
      <c r="C86">
        <v>750</v>
      </c>
      <c r="D86">
        <v>1156</v>
      </c>
      <c r="E86">
        <v>7200</v>
      </c>
      <c r="F86">
        <v>350</v>
      </c>
      <c r="G86">
        <v>380</v>
      </c>
      <c r="H86">
        <v>868</v>
      </c>
      <c r="I86">
        <v>6000</v>
      </c>
      <c r="J86">
        <v>200</v>
      </c>
      <c r="K86">
        <v>0</v>
      </c>
      <c r="L86">
        <v>850</v>
      </c>
      <c r="M86">
        <v>1500</v>
      </c>
      <c r="O86" s="53">
        <f t="shared" si="2"/>
        <v>22254</v>
      </c>
    </row>
    <row r="87" spans="1:15">
      <c r="A87">
        <v>86</v>
      </c>
      <c r="B87">
        <v>710</v>
      </c>
      <c r="C87">
        <v>2850</v>
      </c>
      <c r="D87">
        <v>142</v>
      </c>
      <c r="E87">
        <v>2840</v>
      </c>
      <c r="F87">
        <v>0</v>
      </c>
      <c r="G87">
        <v>85</v>
      </c>
      <c r="H87">
        <v>0</v>
      </c>
      <c r="I87">
        <v>6000</v>
      </c>
      <c r="J87">
        <v>710</v>
      </c>
      <c r="K87">
        <v>0</v>
      </c>
      <c r="L87">
        <v>5680</v>
      </c>
      <c r="M87">
        <v>426</v>
      </c>
      <c r="O87" s="53">
        <f t="shared" si="2"/>
        <v>19443</v>
      </c>
    </row>
    <row r="88" spans="1:15">
      <c r="A88">
        <v>87</v>
      </c>
      <c r="B88">
        <v>5500</v>
      </c>
      <c r="C88">
        <v>5000</v>
      </c>
      <c r="D88">
        <v>2500</v>
      </c>
      <c r="E88">
        <v>0</v>
      </c>
      <c r="F88">
        <v>0</v>
      </c>
      <c r="G88">
        <v>0</v>
      </c>
      <c r="H88">
        <v>2000</v>
      </c>
      <c r="I88">
        <v>2500</v>
      </c>
      <c r="J88">
        <v>1500</v>
      </c>
      <c r="K88">
        <v>0</v>
      </c>
      <c r="L88">
        <v>1000</v>
      </c>
      <c r="M88">
        <v>8000</v>
      </c>
      <c r="O88" s="53">
        <f t="shared" si="2"/>
        <v>28000</v>
      </c>
    </row>
    <row r="89" spans="1:15">
      <c r="A89">
        <v>88</v>
      </c>
      <c r="B89">
        <v>4500</v>
      </c>
      <c r="C89">
        <v>500</v>
      </c>
      <c r="D89">
        <v>1000</v>
      </c>
      <c r="E89">
        <v>500</v>
      </c>
      <c r="F89">
        <v>700</v>
      </c>
      <c r="G89">
        <v>200</v>
      </c>
      <c r="H89">
        <v>300</v>
      </c>
      <c r="I89">
        <v>10000</v>
      </c>
      <c r="J89">
        <v>200</v>
      </c>
      <c r="K89">
        <v>0</v>
      </c>
      <c r="L89">
        <v>60</v>
      </c>
      <c r="M89">
        <v>300</v>
      </c>
      <c r="O89" s="53">
        <f t="shared" si="2"/>
        <v>18260</v>
      </c>
    </row>
    <row r="90" spans="1:15">
      <c r="A90">
        <v>89</v>
      </c>
      <c r="B90">
        <v>960</v>
      </c>
      <c r="C90">
        <v>180</v>
      </c>
      <c r="D90">
        <v>400</v>
      </c>
      <c r="E90">
        <v>6144</v>
      </c>
      <c r="F90">
        <v>103</v>
      </c>
      <c r="G90">
        <v>468</v>
      </c>
      <c r="H90">
        <v>175</v>
      </c>
      <c r="I90">
        <v>11192</v>
      </c>
      <c r="J90">
        <v>110</v>
      </c>
      <c r="K90">
        <v>0</v>
      </c>
      <c r="L90">
        <v>55</v>
      </c>
      <c r="M90">
        <v>50</v>
      </c>
      <c r="O90" s="53">
        <f t="shared" si="2"/>
        <v>19837</v>
      </c>
    </row>
    <row r="91" spans="1:15">
      <c r="A91">
        <v>90</v>
      </c>
      <c r="B91">
        <v>150</v>
      </c>
      <c r="C91">
        <v>350</v>
      </c>
      <c r="D91">
        <v>4200</v>
      </c>
      <c r="E91">
        <v>0</v>
      </c>
      <c r="F91">
        <v>100</v>
      </c>
      <c r="G91">
        <v>0</v>
      </c>
      <c r="H91">
        <v>365</v>
      </c>
      <c r="I91">
        <v>4984</v>
      </c>
      <c r="J91">
        <v>267</v>
      </c>
      <c r="K91">
        <v>240</v>
      </c>
      <c r="L91">
        <v>120</v>
      </c>
      <c r="M91">
        <v>650</v>
      </c>
      <c r="O91" s="53">
        <f t="shared" si="2"/>
        <v>11426</v>
      </c>
    </row>
    <row r="92" spans="1:15">
      <c r="A92">
        <v>91</v>
      </c>
      <c r="B92">
        <v>5000</v>
      </c>
      <c r="C92">
        <v>400</v>
      </c>
      <c r="D92">
        <v>459</v>
      </c>
      <c r="E92">
        <v>18000</v>
      </c>
      <c r="F92">
        <v>3000</v>
      </c>
      <c r="G92">
        <v>800</v>
      </c>
      <c r="H92">
        <v>0</v>
      </c>
      <c r="I92">
        <v>4000</v>
      </c>
      <c r="J92">
        <v>100</v>
      </c>
      <c r="K92">
        <v>0</v>
      </c>
      <c r="L92">
        <v>100</v>
      </c>
      <c r="M92">
        <v>300</v>
      </c>
      <c r="O92" s="53">
        <f t="shared" si="2"/>
        <v>32159</v>
      </c>
    </row>
    <row r="93" spans="1:15">
      <c r="A93">
        <v>92</v>
      </c>
      <c r="B93">
        <v>2400</v>
      </c>
      <c r="C93">
        <v>700</v>
      </c>
      <c r="D93">
        <v>900</v>
      </c>
      <c r="E93">
        <v>3780</v>
      </c>
      <c r="F93">
        <v>100</v>
      </c>
      <c r="G93">
        <v>400</v>
      </c>
      <c r="H93">
        <v>14000</v>
      </c>
      <c r="I93">
        <v>12500</v>
      </c>
      <c r="J93">
        <v>1500</v>
      </c>
      <c r="K93">
        <v>0</v>
      </c>
      <c r="L93">
        <v>0</v>
      </c>
      <c r="M93">
        <v>1000</v>
      </c>
      <c r="O93" s="53">
        <f t="shared" si="2"/>
        <v>37280</v>
      </c>
    </row>
    <row r="94" spans="1:15">
      <c r="A94">
        <v>93</v>
      </c>
      <c r="B94">
        <v>9000</v>
      </c>
      <c r="C94">
        <v>1000</v>
      </c>
      <c r="D94">
        <v>1200</v>
      </c>
      <c r="E94">
        <v>5000</v>
      </c>
      <c r="F94">
        <v>2000</v>
      </c>
      <c r="G94">
        <v>1000</v>
      </c>
      <c r="H94">
        <v>800</v>
      </c>
      <c r="I94">
        <v>15000</v>
      </c>
      <c r="J94">
        <v>300</v>
      </c>
      <c r="K94">
        <v>50</v>
      </c>
      <c r="L94">
        <v>300</v>
      </c>
      <c r="M94">
        <v>1000</v>
      </c>
      <c r="O94" s="53">
        <f t="shared" si="2"/>
        <v>36650</v>
      </c>
    </row>
    <row r="95" spans="1:15">
      <c r="A95">
        <v>94</v>
      </c>
      <c r="B95">
        <v>400</v>
      </c>
      <c r="C95">
        <v>530</v>
      </c>
      <c r="D95">
        <v>651</v>
      </c>
      <c r="E95">
        <v>0</v>
      </c>
      <c r="F95">
        <v>0</v>
      </c>
      <c r="G95">
        <v>600</v>
      </c>
      <c r="H95">
        <v>156</v>
      </c>
      <c r="I95">
        <v>13100</v>
      </c>
      <c r="J95">
        <v>325</v>
      </c>
      <c r="K95">
        <v>0</v>
      </c>
      <c r="L95">
        <v>435</v>
      </c>
      <c r="M95">
        <v>300</v>
      </c>
      <c r="O95" s="53">
        <f t="shared" si="2"/>
        <v>16497</v>
      </c>
    </row>
    <row r="96" spans="1:15">
      <c r="A96">
        <v>95</v>
      </c>
      <c r="B96">
        <v>2085</v>
      </c>
      <c r="C96">
        <v>535</v>
      </c>
      <c r="D96">
        <v>117</v>
      </c>
      <c r="E96">
        <v>2000</v>
      </c>
      <c r="F96">
        <v>3000</v>
      </c>
      <c r="G96">
        <v>144</v>
      </c>
      <c r="H96">
        <v>1714</v>
      </c>
      <c r="I96">
        <v>9771</v>
      </c>
      <c r="J96">
        <v>2457</v>
      </c>
      <c r="K96">
        <v>200</v>
      </c>
      <c r="L96">
        <v>342</v>
      </c>
      <c r="M96">
        <v>2200</v>
      </c>
      <c r="O96" s="53">
        <f t="shared" si="2"/>
        <v>24565</v>
      </c>
    </row>
    <row r="97" spans="1:15">
      <c r="A97">
        <v>96</v>
      </c>
      <c r="B97">
        <v>1140</v>
      </c>
      <c r="C97">
        <v>970</v>
      </c>
      <c r="D97">
        <v>1318</v>
      </c>
      <c r="E97">
        <v>3300</v>
      </c>
      <c r="F97">
        <v>0</v>
      </c>
      <c r="G97">
        <v>360</v>
      </c>
      <c r="H97">
        <v>650</v>
      </c>
      <c r="I97">
        <v>8200</v>
      </c>
      <c r="J97">
        <v>230</v>
      </c>
      <c r="K97">
        <v>0</v>
      </c>
      <c r="L97">
        <v>180</v>
      </c>
      <c r="M97">
        <v>1405</v>
      </c>
      <c r="O97" s="53">
        <f t="shared" si="2"/>
        <v>17753</v>
      </c>
    </row>
    <row r="98" spans="1:15">
      <c r="A98">
        <v>97</v>
      </c>
      <c r="B98">
        <v>105</v>
      </c>
      <c r="C98">
        <v>442</v>
      </c>
      <c r="D98">
        <v>456</v>
      </c>
      <c r="E98">
        <v>0</v>
      </c>
      <c r="F98">
        <v>60</v>
      </c>
      <c r="G98">
        <v>0</v>
      </c>
      <c r="H98">
        <v>0</v>
      </c>
      <c r="I98">
        <v>0</v>
      </c>
      <c r="J98">
        <v>50</v>
      </c>
      <c r="K98">
        <v>0</v>
      </c>
      <c r="L98">
        <v>71</v>
      </c>
      <c r="M98">
        <v>796</v>
      </c>
      <c r="O98" s="53">
        <f t="shared" ref="O98:O129" si="3">SUM(B98:M98)</f>
        <v>1980</v>
      </c>
    </row>
    <row r="99" spans="1:15">
      <c r="A99">
        <v>98</v>
      </c>
      <c r="B99">
        <v>1071</v>
      </c>
      <c r="C99">
        <v>432</v>
      </c>
      <c r="D99">
        <v>600</v>
      </c>
      <c r="E99">
        <v>2275</v>
      </c>
      <c r="F99">
        <v>450</v>
      </c>
      <c r="G99">
        <v>300</v>
      </c>
      <c r="H99">
        <v>1200</v>
      </c>
      <c r="I99">
        <v>5000</v>
      </c>
      <c r="J99">
        <v>700</v>
      </c>
      <c r="K99">
        <v>180</v>
      </c>
      <c r="L99">
        <v>120</v>
      </c>
      <c r="M99">
        <v>80</v>
      </c>
      <c r="O99" s="53">
        <f t="shared" si="3"/>
        <v>12408</v>
      </c>
    </row>
    <row r="100" spans="1:15">
      <c r="A100">
        <v>99</v>
      </c>
      <c r="B100">
        <v>3904</v>
      </c>
      <c r="C100">
        <v>6507</v>
      </c>
      <c r="D100">
        <v>757</v>
      </c>
      <c r="E100">
        <v>10070</v>
      </c>
      <c r="F100">
        <v>1253</v>
      </c>
      <c r="G100">
        <v>0</v>
      </c>
      <c r="H100">
        <v>267</v>
      </c>
      <c r="I100">
        <v>7542</v>
      </c>
      <c r="J100">
        <v>808</v>
      </c>
      <c r="K100">
        <v>0</v>
      </c>
      <c r="L100">
        <v>314</v>
      </c>
      <c r="M100">
        <v>2005</v>
      </c>
      <c r="O100" s="53">
        <f t="shared" si="3"/>
        <v>33427</v>
      </c>
    </row>
    <row r="101" spans="1:15">
      <c r="A101">
        <v>100</v>
      </c>
      <c r="B101">
        <v>630</v>
      </c>
      <c r="C101">
        <v>220</v>
      </c>
      <c r="D101">
        <v>113</v>
      </c>
      <c r="E101">
        <v>4440</v>
      </c>
      <c r="F101">
        <v>2300</v>
      </c>
      <c r="G101">
        <v>60</v>
      </c>
      <c r="H101">
        <v>365</v>
      </c>
      <c r="I101">
        <v>10500</v>
      </c>
      <c r="J101">
        <v>200</v>
      </c>
      <c r="K101">
        <v>0</v>
      </c>
      <c r="L101">
        <v>270</v>
      </c>
      <c r="M101">
        <v>1090</v>
      </c>
      <c r="O101" s="53">
        <f t="shared" si="3"/>
        <v>20188</v>
      </c>
    </row>
    <row r="102" spans="1:15">
      <c r="A102">
        <v>101</v>
      </c>
      <c r="B102">
        <v>1256</v>
      </c>
      <c r="C102">
        <v>400</v>
      </c>
      <c r="D102">
        <v>500</v>
      </c>
      <c r="E102">
        <v>8000</v>
      </c>
      <c r="F102">
        <v>3000</v>
      </c>
      <c r="G102">
        <v>420</v>
      </c>
      <c r="H102">
        <v>150</v>
      </c>
      <c r="I102">
        <v>5319</v>
      </c>
      <c r="J102">
        <v>212</v>
      </c>
      <c r="K102">
        <v>0</v>
      </c>
      <c r="L102">
        <v>500</v>
      </c>
      <c r="M102">
        <v>2500</v>
      </c>
      <c r="O102" s="53">
        <f t="shared" si="3"/>
        <v>22257</v>
      </c>
    </row>
    <row r="103" spans="1:15">
      <c r="A103">
        <v>102</v>
      </c>
      <c r="B103">
        <v>300</v>
      </c>
      <c r="C103">
        <v>150</v>
      </c>
      <c r="D103">
        <v>30</v>
      </c>
      <c r="E103">
        <v>0</v>
      </c>
      <c r="F103">
        <v>100</v>
      </c>
      <c r="G103">
        <v>0</v>
      </c>
      <c r="H103">
        <v>500</v>
      </c>
      <c r="I103">
        <v>2000</v>
      </c>
      <c r="J103">
        <v>200</v>
      </c>
      <c r="K103">
        <v>0</v>
      </c>
      <c r="L103">
        <v>300</v>
      </c>
      <c r="M103">
        <v>1000</v>
      </c>
      <c r="O103" s="53">
        <f t="shared" si="3"/>
        <v>4580</v>
      </c>
    </row>
    <row r="104" spans="1:15">
      <c r="A104">
        <v>103</v>
      </c>
      <c r="B104">
        <v>400</v>
      </c>
      <c r="C104">
        <v>1200</v>
      </c>
      <c r="D104">
        <v>2100</v>
      </c>
      <c r="E104">
        <v>2500</v>
      </c>
      <c r="F104">
        <v>950</v>
      </c>
      <c r="G104">
        <v>1200</v>
      </c>
      <c r="H104">
        <v>0</v>
      </c>
      <c r="I104">
        <v>9000</v>
      </c>
      <c r="J104">
        <v>0</v>
      </c>
      <c r="K104">
        <v>0</v>
      </c>
      <c r="L104">
        <v>500</v>
      </c>
      <c r="M104">
        <v>100</v>
      </c>
      <c r="O104" s="53">
        <f t="shared" si="3"/>
        <v>17950</v>
      </c>
    </row>
    <row r="105" spans="1:15">
      <c r="A105">
        <v>104</v>
      </c>
      <c r="B105">
        <v>622</v>
      </c>
      <c r="C105">
        <v>335</v>
      </c>
      <c r="D105">
        <v>412</v>
      </c>
      <c r="E105">
        <v>8904</v>
      </c>
      <c r="F105">
        <v>265</v>
      </c>
      <c r="G105">
        <v>194</v>
      </c>
      <c r="H105">
        <v>85</v>
      </c>
      <c r="I105">
        <v>10380</v>
      </c>
      <c r="J105">
        <v>90</v>
      </c>
      <c r="K105">
        <v>0</v>
      </c>
      <c r="L105">
        <v>522</v>
      </c>
      <c r="M105">
        <v>2024</v>
      </c>
      <c r="O105" s="53">
        <f t="shared" si="3"/>
        <v>23833</v>
      </c>
    </row>
    <row r="106" spans="1:15">
      <c r="A106">
        <v>105</v>
      </c>
      <c r="B106">
        <v>1500</v>
      </c>
      <c r="C106">
        <v>600</v>
      </c>
      <c r="D106">
        <v>800</v>
      </c>
      <c r="E106">
        <v>0</v>
      </c>
      <c r="F106">
        <v>300</v>
      </c>
      <c r="G106">
        <v>0</v>
      </c>
      <c r="H106">
        <v>200</v>
      </c>
      <c r="I106">
        <v>7500</v>
      </c>
      <c r="J106">
        <v>350</v>
      </c>
      <c r="K106">
        <v>200</v>
      </c>
      <c r="L106">
        <v>350</v>
      </c>
      <c r="M106">
        <v>1000</v>
      </c>
      <c r="O106" s="53">
        <f t="shared" si="3"/>
        <v>12800</v>
      </c>
    </row>
    <row r="107" spans="1:15">
      <c r="A107">
        <v>106</v>
      </c>
      <c r="B107">
        <v>2600</v>
      </c>
      <c r="C107">
        <v>400</v>
      </c>
      <c r="D107">
        <v>800</v>
      </c>
      <c r="E107">
        <v>6744</v>
      </c>
      <c r="F107">
        <v>2600</v>
      </c>
      <c r="G107">
        <v>600</v>
      </c>
      <c r="H107">
        <v>100</v>
      </c>
      <c r="I107">
        <v>23000</v>
      </c>
      <c r="J107">
        <v>330</v>
      </c>
      <c r="K107">
        <v>0</v>
      </c>
      <c r="L107">
        <v>0</v>
      </c>
      <c r="M107">
        <v>1600</v>
      </c>
      <c r="O107" s="53">
        <f t="shared" si="3"/>
        <v>38774</v>
      </c>
    </row>
    <row r="108" spans="1:15">
      <c r="A108">
        <v>107</v>
      </c>
      <c r="B108">
        <v>12000</v>
      </c>
      <c r="C108">
        <v>1200</v>
      </c>
      <c r="D108">
        <v>200</v>
      </c>
      <c r="E108">
        <v>19200</v>
      </c>
      <c r="F108">
        <v>2000</v>
      </c>
      <c r="G108">
        <v>2000</v>
      </c>
      <c r="H108">
        <v>300</v>
      </c>
      <c r="I108">
        <v>15000</v>
      </c>
      <c r="J108">
        <v>1000</v>
      </c>
      <c r="K108">
        <v>0</v>
      </c>
      <c r="L108">
        <v>3000</v>
      </c>
      <c r="M108">
        <v>3000</v>
      </c>
      <c r="O108" s="53">
        <f t="shared" si="3"/>
        <v>58900</v>
      </c>
    </row>
    <row r="109" spans="1:15">
      <c r="A109">
        <v>108</v>
      </c>
      <c r="B109">
        <v>900</v>
      </c>
      <c r="C109">
        <v>7000</v>
      </c>
      <c r="D109">
        <v>100</v>
      </c>
      <c r="E109">
        <v>10000</v>
      </c>
      <c r="F109">
        <v>400</v>
      </c>
      <c r="G109">
        <v>0</v>
      </c>
      <c r="H109">
        <v>800</v>
      </c>
      <c r="I109">
        <v>20000</v>
      </c>
      <c r="J109">
        <v>900</v>
      </c>
      <c r="K109">
        <v>1000</v>
      </c>
      <c r="L109">
        <v>550</v>
      </c>
      <c r="M109">
        <v>3500</v>
      </c>
      <c r="O109" s="53">
        <f t="shared" si="3"/>
        <v>45150</v>
      </c>
    </row>
    <row r="110" spans="1:15">
      <c r="A110">
        <v>109</v>
      </c>
      <c r="B110">
        <v>12000</v>
      </c>
      <c r="C110">
        <v>2500</v>
      </c>
      <c r="D110">
        <v>1000</v>
      </c>
      <c r="E110">
        <v>0</v>
      </c>
      <c r="F110">
        <v>0</v>
      </c>
      <c r="G110">
        <v>600</v>
      </c>
      <c r="H110">
        <v>500</v>
      </c>
      <c r="I110">
        <v>4500</v>
      </c>
      <c r="J110">
        <v>400</v>
      </c>
      <c r="K110">
        <v>0</v>
      </c>
      <c r="L110">
        <v>300</v>
      </c>
      <c r="M110">
        <v>1000</v>
      </c>
      <c r="O110" s="53">
        <f t="shared" si="3"/>
        <v>22800</v>
      </c>
    </row>
    <row r="111" spans="1:15">
      <c r="A111">
        <v>110</v>
      </c>
      <c r="B111">
        <v>3000</v>
      </c>
      <c r="C111">
        <v>800</v>
      </c>
      <c r="D111">
        <v>1000</v>
      </c>
      <c r="E111">
        <v>10000</v>
      </c>
      <c r="F111">
        <v>500</v>
      </c>
      <c r="G111">
        <v>700</v>
      </c>
      <c r="H111">
        <v>150</v>
      </c>
      <c r="I111">
        <v>11000</v>
      </c>
      <c r="J111">
        <v>200</v>
      </c>
      <c r="K111">
        <v>0</v>
      </c>
      <c r="L111">
        <v>100</v>
      </c>
      <c r="M111">
        <v>800</v>
      </c>
      <c r="O111" s="53">
        <f t="shared" si="3"/>
        <v>28250</v>
      </c>
    </row>
    <row r="112" spans="1:15">
      <c r="A112">
        <v>111</v>
      </c>
      <c r="B112">
        <v>500</v>
      </c>
      <c r="C112">
        <v>6000</v>
      </c>
      <c r="D112">
        <v>650</v>
      </c>
      <c r="E112">
        <v>15500</v>
      </c>
      <c r="F112">
        <v>500</v>
      </c>
      <c r="G112">
        <v>0</v>
      </c>
      <c r="H112">
        <v>650</v>
      </c>
      <c r="I112">
        <v>23000</v>
      </c>
      <c r="J112">
        <v>700</v>
      </c>
      <c r="K112">
        <v>0</v>
      </c>
      <c r="L112">
        <v>150</v>
      </c>
      <c r="M112">
        <v>1100</v>
      </c>
      <c r="O112" s="53">
        <f t="shared" si="3"/>
        <v>48750</v>
      </c>
    </row>
    <row r="113" spans="1:15">
      <c r="A113">
        <v>112</v>
      </c>
      <c r="B113">
        <v>500</v>
      </c>
      <c r="C113">
        <v>105</v>
      </c>
      <c r="D113">
        <v>1592</v>
      </c>
      <c r="E113">
        <v>2750</v>
      </c>
      <c r="F113">
        <v>0</v>
      </c>
      <c r="G113">
        <v>220</v>
      </c>
      <c r="H113">
        <v>96</v>
      </c>
      <c r="I113">
        <v>7745</v>
      </c>
      <c r="J113">
        <v>1768</v>
      </c>
      <c r="K113">
        <v>0</v>
      </c>
      <c r="L113">
        <v>600</v>
      </c>
      <c r="M113">
        <v>750</v>
      </c>
      <c r="O113" s="53">
        <f t="shared" si="3"/>
        <v>16126</v>
      </c>
    </row>
    <row r="114" spans="1:15">
      <c r="A114">
        <v>113</v>
      </c>
      <c r="B114">
        <v>3500</v>
      </c>
      <c r="C114">
        <v>400</v>
      </c>
      <c r="D114">
        <v>400</v>
      </c>
      <c r="E114">
        <v>8400</v>
      </c>
      <c r="F114">
        <v>200</v>
      </c>
      <c r="G114">
        <v>400</v>
      </c>
      <c r="H114">
        <v>250</v>
      </c>
      <c r="I114">
        <v>20000</v>
      </c>
      <c r="J114">
        <v>250</v>
      </c>
      <c r="K114">
        <v>0</v>
      </c>
      <c r="L114">
        <v>0</v>
      </c>
      <c r="M114">
        <v>500</v>
      </c>
      <c r="O114" s="53">
        <f t="shared" si="3"/>
        <v>34300</v>
      </c>
    </row>
    <row r="115" spans="1:15">
      <c r="A115">
        <v>114</v>
      </c>
      <c r="B115">
        <v>400</v>
      </c>
      <c r="C115">
        <v>1000</v>
      </c>
      <c r="D115">
        <v>400</v>
      </c>
      <c r="E115">
        <v>10000</v>
      </c>
      <c r="F115">
        <v>200</v>
      </c>
      <c r="G115">
        <v>220</v>
      </c>
      <c r="H115">
        <v>1000</v>
      </c>
      <c r="I115">
        <v>9000</v>
      </c>
      <c r="J115">
        <v>200</v>
      </c>
      <c r="K115">
        <v>1000</v>
      </c>
      <c r="L115">
        <v>200</v>
      </c>
      <c r="M115">
        <v>500</v>
      </c>
      <c r="O115" s="53">
        <f t="shared" si="3"/>
        <v>24120</v>
      </c>
    </row>
    <row r="116" spans="1:15">
      <c r="A116">
        <v>115</v>
      </c>
      <c r="B116">
        <v>4000</v>
      </c>
      <c r="C116">
        <v>1000</v>
      </c>
      <c r="D116">
        <v>500</v>
      </c>
      <c r="E116">
        <v>0</v>
      </c>
      <c r="F116">
        <v>0</v>
      </c>
      <c r="G116">
        <v>500</v>
      </c>
      <c r="H116">
        <v>100</v>
      </c>
      <c r="I116">
        <v>6000</v>
      </c>
      <c r="J116">
        <v>500</v>
      </c>
      <c r="K116">
        <v>0</v>
      </c>
      <c r="L116">
        <v>100</v>
      </c>
      <c r="M116">
        <v>1000</v>
      </c>
      <c r="O116" s="53">
        <f t="shared" si="3"/>
        <v>13700</v>
      </c>
    </row>
    <row r="117" spans="1:15">
      <c r="A117">
        <v>116</v>
      </c>
      <c r="B117">
        <v>2400</v>
      </c>
      <c r="C117">
        <v>569</v>
      </c>
      <c r="D117">
        <v>138</v>
      </c>
      <c r="E117">
        <v>13700</v>
      </c>
      <c r="F117">
        <v>200</v>
      </c>
      <c r="G117">
        <v>0</v>
      </c>
      <c r="H117">
        <v>200</v>
      </c>
      <c r="I117">
        <v>6000</v>
      </c>
      <c r="J117">
        <v>300</v>
      </c>
      <c r="K117">
        <v>100</v>
      </c>
      <c r="L117">
        <v>360</v>
      </c>
      <c r="M117">
        <v>4500</v>
      </c>
      <c r="O117" s="53">
        <f t="shared" si="3"/>
        <v>28467</v>
      </c>
    </row>
    <row r="118" spans="1:15">
      <c r="A118">
        <v>117</v>
      </c>
      <c r="B118">
        <v>100</v>
      </c>
      <c r="C118">
        <v>500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3000</v>
      </c>
      <c r="J118">
        <v>300</v>
      </c>
      <c r="K118">
        <v>600</v>
      </c>
      <c r="L118">
        <v>0</v>
      </c>
      <c r="M118">
        <v>800</v>
      </c>
      <c r="O118" s="53">
        <f t="shared" si="3"/>
        <v>5300</v>
      </c>
    </row>
    <row r="119" spans="1:15">
      <c r="A119">
        <v>118</v>
      </c>
      <c r="B119">
        <v>11000</v>
      </c>
      <c r="C119">
        <v>3000</v>
      </c>
      <c r="D119">
        <v>0</v>
      </c>
      <c r="E119">
        <v>13000</v>
      </c>
      <c r="F119">
        <v>4000</v>
      </c>
      <c r="G119">
        <v>1200</v>
      </c>
      <c r="H119">
        <v>5000</v>
      </c>
      <c r="I119">
        <v>15000</v>
      </c>
      <c r="J119">
        <v>0</v>
      </c>
      <c r="K119">
        <v>0</v>
      </c>
      <c r="L119">
        <v>0</v>
      </c>
      <c r="M119">
        <v>3000</v>
      </c>
      <c r="O119" s="53">
        <f t="shared" si="3"/>
        <v>55200</v>
      </c>
    </row>
    <row r="120" spans="1:15">
      <c r="A120">
        <v>119</v>
      </c>
      <c r="B120">
        <v>2500</v>
      </c>
      <c r="C120">
        <v>600</v>
      </c>
      <c r="D120">
        <v>0</v>
      </c>
      <c r="E120">
        <v>0</v>
      </c>
      <c r="F120">
        <v>0</v>
      </c>
      <c r="G120">
        <v>40</v>
      </c>
      <c r="H120">
        <v>300</v>
      </c>
      <c r="I120">
        <v>10000</v>
      </c>
      <c r="J120">
        <v>1000</v>
      </c>
      <c r="K120">
        <v>0</v>
      </c>
      <c r="L120">
        <v>0</v>
      </c>
      <c r="M120">
        <v>700</v>
      </c>
      <c r="O120" s="53">
        <f t="shared" si="3"/>
        <v>15140</v>
      </c>
    </row>
    <row r="121" spans="1:15">
      <c r="A121">
        <v>120</v>
      </c>
      <c r="B121">
        <v>40</v>
      </c>
      <c r="C121">
        <v>500</v>
      </c>
      <c r="D121">
        <v>1000</v>
      </c>
      <c r="E121">
        <v>0</v>
      </c>
      <c r="F121">
        <v>0</v>
      </c>
      <c r="G121">
        <v>0</v>
      </c>
      <c r="H121">
        <v>750</v>
      </c>
      <c r="I121">
        <v>6000</v>
      </c>
      <c r="J121">
        <v>40</v>
      </c>
      <c r="K121">
        <v>125</v>
      </c>
      <c r="L121">
        <v>293</v>
      </c>
      <c r="O121" s="53">
        <f t="shared" si="3"/>
        <v>8748</v>
      </c>
    </row>
    <row r="122" spans="1:15">
      <c r="A122">
        <v>121</v>
      </c>
      <c r="B122">
        <v>100</v>
      </c>
      <c r="C122">
        <v>200</v>
      </c>
      <c r="D122">
        <v>173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1500</v>
      </c>
      <c r="L122">
        <v>0</v>
      </c>
      <c r="M122">
        <v>600</v>
      </c>
      <c r="O122" s="53">
        <f t="shared" si="3"/>
        <v>2573</v>
      </c>
    </row>
    <row r="123" spans="1:15">
      <c r="A123">
        <v>122</v>
      </c>
      <c r="B123">
        <v>100</v>
      </c>
      <c r="C123">
        <v>350</v>
      </c>
      <c r="D123">
        <v>700</v>
      </c>
      <c r="E123">
        <v>1000</v>
      </c>
      <c r="F123">
        <v>400</v>
      </c>
      <c r="G123">
        <v>0</v>
      </c>
      <c r="H123">
        <v>175</v>
      </c>
      <c r="I123">
        <v>7000</v>
      </c>
      <c r="J123">
        <v>1400</v>
      </c>
      <c r="K123">
        <v>200</v>
      </c>
      <c r="L123">
        <v>100</v>
      </c>
      <c r="M123">
        <v>1500</v>
      </c>
      <c r="O123" s="53">
        <f t="shared" si="3"/>
        <v>12925</v>
      </c>
    </row>
    <row r="124" spans="1:15">
      <c r="A124">
        <v>123</v>
      </c>
      <c r="B124">
        <v>300</v>
      </c>
      <c r="C124">
        <v>500</v>
      </c>
      <c r="D124">
        <v>100</v>
      </c>
      <c r="E124">
        <v>0</v>
      </c>
      <c r="F124">
        <v>0</v>
      </c>
      <c r="G124">
        <v>0</v>
      </c>
      <c r="H124">
        <v>250</v>
      </c>
      <c r="I124">
        <v>500</v>
      </c>
      <c r="J124">
        <v>315</v>
      </c>
      <c r="K124">
        <v>984</v>
      </c>
      <c r="L124">
        <v>0</v>
      </c>
      <c r="M124">
        <v>1000</v>
      </c>
      <c r="O124" s="53">
        <f t="shared" si="3"/>
        <v>3949</v>
      </c>
    </row>
    <row r="125" spans="1:15">
      <c r="A125">
        <v>124</v>
      </c>
      <c r="B125">
        <v>5000</v>
      </c>
      <c r="C125">
        <v>500</v>
      </c>
      <c r="D125">
        <v>300</v>
      </c>
      <c r="E125">
        <v>0</v>
      </c>
      <c r="F125">
        <v>0</v>
      </c>
      <c r="G125">
        <v>75</v>
      </c>
      <c r="H125">
        <v>150</v>
      </c>
      <c r="I125">
        <v>0</v>
      </c>
      <c r="J125">
        <v>150</v>
      </c>
      <c r="K125">
        <v>70</v>
      </c>
      <c r="L125">
        <v>350</v>
      </c>
      <c r="M125">
        <v>500</v>
      </c>
      <c r="O125" s="53">
        <f t="shared" si="3"/>
        <v>7095</v>
      </c>
    </row>
    <row r="126" spans="1:15">
      <c r="A126">
        <v>125</v>
      </c>
      <c r="B126">
        <v>50</v>
      </c>
      <c r="C126">
        <v>500</v>
      </c>
      <c r="D126">
        <v>50</v>
      </c>
      <c r="E126">
        <v>400</v>
      </c>
      <c r="F126">
        <v>100</v>
      </c>
      <c r="G126">
        <v>0</v>
      </c>
      <c r="H126">
        <v>2000</v>
      </c>
      <c r="I126">
        <v>8000</v>
      </c>
      <c r="J126">
        <v>500</v>
      </c>
      <c r="K126">
        <v>100</v>
      </c>
      <c r="L126">
        <v>0</v>
      </c>
      <c r="M126">
        <v>2000</v>
      </c>
      <c r="O126" s="53">
        <f t="shared" si="3"/>
        <v>13700</v>
      </c>
    </row>
    <row r="127" spans="1:15">
      <c r="A127">
        <v>126</v>
      </c>
      <c r="B127">
        <v>0</v>
      </c>
      <c r="C127">
        <v>250</v>
      </c>
      <c r="D127">
        <v>40</v>
      </c>
      <c r="E127">
        <v>0</v>
      </c>
      <c r="F127">
        <v>0</v>
      </c>
      <c r="G127">
        <v>300</v>
      </c>
      <c r="H127">
        <v>1000</v>
      </c>
      <c r="I127">
        <v>4000</v>
      </c>
      <c r="J127">
        <v>1000</v>
      </c>
      <c r="K127">
        <v>0</v>
      </c>
      <c r="L127">
        <v>250</v>
      </c>
      <c r="M127">
        <v>2000</v>
      </c>
      <c r="O127" s="53">
        <f t="shared" si="3"/>
        <v>8840</v>
      </c>
    </row>
    <row r="128" spans="1:15">
      <c r="A128">
        <v>127</v>
      </c>
      <c r="B128">
        <v>1300</v>
      </c>
      <c r="C128">
        <v>200</v>
      </c>
      <c r="D128">
        <v>60</v>
      </c>
      <c r="E128">
        <v>1600</v>
      </c>
      <c r="F128">
        <v>200</v>
      </c>
      <c r="G128">
        <v>0</v>
      </c>
      <c r="H128">
        <v>197</v>
      </c>
      <c r="I128">
        <v>10198</v>
      </c>
      <c r="J128">
        <v>378</v>
      </c>
      <c r="K128">
        <v>0</v>
      </c>
      <c r="L128">
        <v>0</v>
      </c>
      <c r="M128">
        <v>650</v>
      </c>
      <c r="O128" s="53">
        <f t="shared" si="3"/>
        <v>14783</v>
      </c>
    </row>
    <row r="129" spans="1:15">
      <c r="A129">
        <v>128</v>
      </c>
      <c r="B129">
        <v>400</v>
      </c>
      <c r="C129">
        <v>200</v>
      </c>
      <c r="D129">
        <v>200</v>
      </c>
      <c r="E129">
        <v>0</v>
      </c>
      <c r="F129">
        <v>0</v>
      </c>
      <c r="G129">
        <v>0</v>
      </c>
      <c r="H129">
        <v>300</v>
      </c>
      <c r="I129">
        <v>3000</v>
      </c>
      <c r="J129">
        <v>200</v>
      </c>
      <c r="K129">
        <v>0</v>
      </c>
      <c r="L129">
        <v>0</v>
      </c>
      <c r="M129">
        <v>200</v>
      </c>
      <c r="O129" s="53">
        <f t="shared" si="3"/>
        <v>4500</v>
      </c>
    </row>
    <row r="130" spans="1:15">
      <c r="A130">
        <v>129</v>
      </c>
      <c r="B130">
        <v>2000</v>
      </c>
      <c r="C130">
        <v>6000</v>
      </c>
      <c r="D130">
        <v>500</v>
      </c>
      <c r="E130">
        <v>0</v>
      </c>
      <c r="F130">
        <v>0</v>
      </c>
      <c r="G130">
        <v>0</v>
      </c>
      <c r="H130">
        <v>50</v>
      </c>
      <c r="I130">
        <v>7500</v>
      </c>
      <c r="J130">
        <v>100</v>
      </c>
      <c r="K130">
        <v>0</v>
      </c>
      <c r="L130">
        <v>1000</v>
      </c>
      <c r="M130">
        <v>2000</v>
      </c>
      <c r="O130" s="53">
        <f t="shared" ref="O130:O161" si="4">SUM(B130:M130)</f>
        <v>19150</v>
      </c>
    </row>
    <row r="131" spans="1:15">
      <c r="A131">
        <v>130</v>
      </c>
      <c r="B131">
        <v>1500</v>
      </c>
      <c r="C131">
        <v>300</v>
      </c>
      <c r="D131">
        <v>500</v>
      </c>
      <c r="E131">
        <v>4375</v>
      </c>
      <c r="F131">
        <v>250</v>
      </c>
      <c r="G131">
        <v>600</v>
      </c>
      <c r="H131">
        <v>310</v>
      </c>
      <c r="I131">
        <v>16400</v>
      </c>
      <c r="J131">
        <v>145</v>
      </c>
      <c r="K131">
        <v>0</v>
      </c>
      <c r="L131">
        <v>0</v>
      </c>
      <c r="M131">
        <v>500</v>
      </c>
      <c r="O131" s="53">
        <f t="shared" si="4"/>
        <v>24880</v>
      </c>
    </row>
    <row r="132" spans="1:15">
      <c r="A132">
        <v>131</v>
      </c>
      <c r="B132">
        <v>3</v>
      </c>
      <c r="C132">
        <v>420</v>
      </c>
      <c r="D132">
        <v>114</v>
      </c>
      <c r="E132">
        <v>0</v>
      </c>
      <c r="F132">
        <v>646</v>
      </c>
      <c r="G132">
        <v>0</v>
      </c>
      <c r="H132">
        <v>450</v>
      </c>
      <c r="I132">
        <v>7540</v>
      </c>
      <c r="J132">
        <v>690</v>
      </c>
      <c r="K132">
        <v>1134</v>
      </c>
      <c r="L132">
        <v>0</v>
      </c>
      <c r="M132">
        <v>225</v>
      </c>
      <c r="O132" s="53">
        <f t="shared" si="4"/>
        <v>11222</v>
      </c>
    </row>
    <row r="133" spans="1:15">
      <c r="A133">
        <v>132</v>
      </c>
      <c r="B133">
        <v>2400</v>
      </c>
      <c r="C133">
        <v>1200</v>
      </c>
      <c r="D133">
        <v>3600</v>
      </c>
      <c r="E133">
        <v>6000</v>
      </c>
      <c r="F133">
        <v>2000</v>
      </c>
      <c r="G133">
        <v>420</v>
      </c>
      <c r="H133">
        <v>1500</v>
      </c>
      <c r="I133">
        <v>8000</v>
      </c>
      <c r="J133">
        <v>500</v>
      </c>
      <c r="K133">
        <v>0</v>
      </c>
      <c r="L133">
        <v>1200</v>
      </c>
      <c r="M133">
        <v>1000</v>
      </c>
      <c r="O133" s="53">
        <f t="shared" si="4"/>
        <v>27820</v>
      </c>
    </row>
    <row r="134" spans="1:15">
      <c r="A134">
        <v>133</v>
      </c>
      <c r="B134">
        <v>1800</v>
      </c>
      <c r="C134">
        <v>300</v>
      </c>
      <c r="D134">
        <v>475</v>
      </c>
      <c r="E134">
        <v>2450</v>
      </c>
      <c r="F134">
        <v>240</v>
      </c>
      <c r="G134">
        <v>350</v>
      </c>
      <c r="H134">
        <v>600</v>
      </c>
      <c r="I134">
        <v>6000</v>
      </c>
      <c r="J134">
        <v>50</v>
      </c>
      <c r="K134">
        <v>100</v>
      </c>
      <c r="L134">
        <v>300</v>
      </c>
      <c r="M134">
        <v>500</v>
      </c>
      <c r="O134" s="53">
        <f t="shared" si="4"/>
        <v>13165</v>
      </c>
    </row>
    <row r="135" spans="1:15">
      <c r="A135">
        <v>134</v>
      </c>
      <c r="B135">
        <v>124</v>
      </c>
      <c r="C135">
        <v>202</v>
      </c>
      <c r="D135">
        <v>436</v>
      </c>
      <c r="E135">
        <v>0</v>
      </c>
      <c r="F135">
        <v>0</v>
      </c>
      <c r="G135">
        <v>538</v>
      </c>
      <c r="H135">
        <v>339</v>
      </c>
      <c r="I135">
        <v>4362</v>
      </c>
      <c r="J135">
        <v>342</v>
      </c>
      <c r="K135">
        <v>225</v>
      </c>
      <c r="L135">
        <v>432</v>
      </c>
      <c r="M135">
        <v>640</v>
      </c>
      <c r="O135" s="53">
        <f t="shared" si="4"/>
        <v>7640</v>
      </c>
    </row>
    <row r="136" spans="1:15">
      <c r="A136">
        <v>135</v>
      </c>
      <c r="B136">
        <v>750</v>
      </c>
      <c r="C136">
        <v>200</v>
      </c>
      <c r="D136">
        <v>436</v>
      </c>
      <c r="E136">
        <v>4500</v>
      </c>
      <c r="F136">
        <v>400</v>
      </c>
      <c r="G136">
        <v>300</v>
      </c>
      <c r="H136">
        <v>900</v>
      </c>
      <c r="I136">
        <v>12324</v>
      </c>
      <c r="J136">
        <v>550</v>
      </c>
      <c r="K136">
        <v>0</v>
      </c>
      <c r="L136">
        <v>1000</v>
      </c>
      <c r="M136">
        <v>1500</v>
      </c>
      <c r="O136" s="53">
        <f t="shared" si="4"/>
        <v>22860</v>
      </c>
    </row>
    <row r="137" spans="1:15">
      <c r="A137">
        <v>136</v>
      </c>
      <c r="B137">
        <v>581</v>
      </c>
      <c r="C137">
        <v>681</v>
      </c>
      <c r="D137">
        <v>100</v>
      </c>
      <c r="E137">
        <v>16846</v>
      </c>
      <c r="F137">
        <v>250</v>
      </c>
      <c r="G137">
        <v>203</v>
      </c>
      <c r="H137">
        <v>120</v>
      </c>
      <c r="I137">
        <v>12370</v>
      </c>
      <c r="J137">
        <v>480</v>
      </c>
      <c r="K137">
        <v>0</v>
      </c>
      <c r="L137">
        <v>200</v>
      </c>
      <c r="M137">
        <v>1312</v>
      </c>
      <c r="O137" s="53">
        <f t="shared" si="4"/>
        <v>33143</v>
      </c>
    </row>
    <row r="138" spans="1:15">
      <c r="A138">
        <v>137</v>
      </c>
      <c r="B138">
        <v>150</v>
      </c>
      <c r="C138">
        <v>300</v>
      </c>
      <c r="D138">
        <v>640</v>
      </c>
      <c r="E138">
        <v>0</v>
      </c>
      <c r="F138">
        <v>0</v>
      </c>
      <c r="G138">
        <v>0</v>
      </c>
      <c r="H138">
        <v>0</v>
      </c>
      <c r="I138">
        <v>6588</v>
      </c>
      <c r="J138">
        <v>690</v>
      </c>
      <c r="K138">
        <v>0</v>
      </c>
      <c r="L138">
        <v>0</v>
      </c>
      <c r="M138">
        <v>1000</v>
      </c>
      <c r="O138" s="53">
        <f t="shared" si="4"/>
        <v>9368</v>
      </c>
    </row>
    <row r="139" spans="1:15">
      <c r="A139">
        <v>138</v>
      </c>
      <c r="B139">
        <v>3000</v>
      </c>
      <c r="C139">
        <v>1440</v>
      </c>
      <c r="D139">
        <v>2100</v>
      </c>
      <c r="E139">
        <v>7200</v>
      </c>
      <c r="F139">
        <v>3200</v>
      </c>
      <c r="G139">
        <v>600</v>
      </c>
      <c r="H139">
        <v>480</v>
      </c>
      <c r="I139">
        <v>0</v>
      </c>
      <c r="J139">
        <v>0</v>
      </c>
      <c r="K139">
        <v>600</v>
      </c>
      <c r="L139">
        <v>100</v>
      </c>
      <c r="M139">
        <v>1000</v>
      </c>
      <c r="O139" s="53">
        <f t="shared" si="4"/>
        <v>19720</v>
      </c>
    </row>
    <row r="140" spans="1:15">
      <c r="A140">
        <v>139</v>
      </c>
      <c r="B140">
        <v>1800</v>
      </c>
      <c r="C140">
        <v>900</v>
      </c>
      <c r="D140">
        <v>10100</v>
      </c>
      <c r="E140">
        <v>3600</v>
      </c>
      <c r="F140">
        <v>360</v>
      </c>
      <c r="G140">
        <v>405</v>
      </c>
      <c r="H140">
        <v>250</v>
      </c>
      <c r="I140">
        <v>3750</v>
      </c>
      <c r="J140">
        <v>400</v>
      </c>
      <c r="K140">
        <v>500</v>
      </c>
      <c r="L140">
        <v>400</v>
      </c>
      <c r="M140">
        <v>1500</v>
      </c>
      <c r="O140" s="53">
        <f t="shared" si="4"/>
        <v>23965</v>
      </c>
    </row>
    <row r="141" spans="1:15">
      <c r="A141">
        <v>140</v>
      </c>
      <c r="B141">
        <v>1000</v>
      </c>
      <c r="C141">
        <v>200</v>
      </c>
      <c r="D141">
        <v>0</v>
      </c>
      <c r="E141">
        <v>6000</v>
      </c>
      <c r="F141">
        <v>1500</v>
      </c>
      <c r="G141">
        <v>500</v>
      </c>
      <c r="H141">
        <v>200</v>
      </c>
      <c r="I141">
        <v>11000</v>
      </c>
      <c r="J141">
        <v>300</v>
      </c>
      <c r="K141">
        <v>20</v>
      </c>
      <c r="L141">
        <v>150</v>
      </c>
      <c r="M141">
        <v>500</v>
      </c>
      <c r="O141" s="53">
        <f t="shared" si="4"/>
        <v>21370</v>
      </c>
    </row>
    <row r="142" spans="1:15">
      <c r="A142">
        <v>141</v>
      </c>
      <c r="B142">
        <v>60</v>
      </c>
      <c r="C142">
        <v>85</v>
      </c>
      <c r="D142">
        <v>0</v>
      </c>
      <c r="E142">
        <v>33</v>
      </c>
      <c r="F142">
        <v>0</v>
      </c>
      <c r="G142">
        <v>0</v>
      </c>
      <c r="H142">
        <v>430</v>
      </c>
      <c r="I142">
        <v>0</v>
      </c>
      <c r="J142">
        <v>150</v>
      </c>
      <c r="K142">
        <v>0</v>
      </c>
      <c r="L142">
        <v>0</v>
      </c>
      <c r="M142">
        <v>30</v>
      </c>
      <c r="O142" s="53">
        <f t="shared" si="4"/>
        <v>788</v>
      </c>
    </row>
    <row r="143" spans="1:15">
      <c r="A143">
        <v>142</v>
      </c>
      <c r="B143">
        <v>100</v>
      </c>
      <c r="C143">
        <v>300</v>
      </c>
      <c r="D143">
        <v>10</v>
      </c>
      <c r="E143">
        <v>0</v>
      </c>
      <c r="F143">
        <v>0</v>
      </c>
      <c r="G143">
        <v>0</v>
      </c>
      <c r="H143">
        <v>200</v>
      </c>
      <c r="I143">
        <v>4000</v>
      </c>
      <c r="J143">
        <v>500</v>
      </c>
      <c r="K143">
        <v>0</v>
      </c>
      <c r="L143">
        <v>100</v>
      </c>
      <c r="M143">
        <v>500</v>
      </c>
      <c r="O143" s="53">
        <f t="shared" si="4"/>
        <v>5710</v>
      </c>
    </row>
    <row r="144" spans="1:15">
      <c r="A144">
        <v>143</v>
      </c>
      <c r="B144">
        <v>400</v>
      </c>
      <c r="C144">
        <v>500</v>
      </c>
      <c r="D144">
        <v>100</v>
      </c>
      <c r="E144">
        <v>5550</v>
      </c>
      <c r="F144">
        <v>1500</v>
      </c>
      <c r="G144">
        <v>150</v>
      </c>
      <c r="H144">
        <v>300</v>
      </c>
      <c r="I144">
        <v>4000</v>
      </c>
      <c r="J144">
        <v>200</v>
      </c>
      <c r="K144">
        <v>0</v>
      </c>
      <c r="L144">
        <v>200</v>
      </c>
      <c r="M144">
        <v>200</v>
      </c>
      <c r="O144" s="53">
        <f t="shared" si="4"/>
        <v>13100</v>
      </c>
    </row>
    <row r="145" spans="1:15">
      <c r="A145">
        <v>144</v>
      </c>
      <c r="B145">
        <v>1440</v>
      </c>
      <c r="C145">
        <v>200</v>
      </c>
      <c r="D145">
        <v>480</v>
      </c>
      <c r="E145">
        <v>0</v>
      </c>
      <c r="F145">
        <v>0</v>
      </c>
      <c r="G145">
        <v>900</v>
      </c>
      <c r="H145">
        <v>400</v>
      </c>
      <c r="I145">
        <v>6602</v>
      </c>
      <c r="J145">
        <v>92</v>
      </c>
      <c r="K145">
        <v>120</v>
      </c>
      <c r="L145">
        <v>200</v>
      </c>
      <c r="M145">
        <v>300</v>
      </c>
      <c r="O145" s="53">
        <f t="shared" si="4"/>
        <v>10734</v>
      </c>
    </row>
    <row r="146" spans="1:15">
      <c r="A146">
        <v>145</v>
      </c>
      <c r="B146">
        <v>300</v>
      </c>
      <c r="C146">
        <v>1260</v>
      </c>
      <c r="D146">
        <v>480</v>
      </c>
      <c r="E146">
        <v>0</v>
      </c>
      <c r="F146">
        <v>0</v>
      </c>
      <c r="G146">
        <v>0</v>
      </c>
      <c r="H146">
        <v>244</v>
      </c>
      <c r="I146">
        <v>2926</v>
      </c>
      <c r="J146">
        <v>329</v>
      </c>
      <c r="K146">
        <v>0</v>
      </c>
      <c r="L146">
        <v>310</v>
      </c>
      <c r="M146">
        <v>2000</v>
      </c>
      <c r="O146" s="53">
        <f t="shared" si="4"/>
        <v>7849</v>
      </c>
    </row>
    <row r="147" spans="1:15">
      <c r="A147">
        <v>146</v>
      </c>
      <c r="B147">
        <v>1200</v>
      </c>
      <c r="C147">
        <v>150</v>
      </c>
      <c r="D147">
        <v>750</v>
      </c>
      <c r="E147">
        <v>6000</v>
      </c>
      <c r="F147">
        <v>0</v>
      </c>
      <c r="G147">
        <v>900</v>
      </c>
      <c r="H147">
        <v>200</v>
      </c>
      <c r="I147">
        <v>16526</v>
      </c>
      <c r="J147">
        <v>450</v>
      </c>
      <c r="K147">
        <v>0</v>
      </c>
      <c r="L147">
        <v>416</v>
      </c>
      <c r="M147">
        <v>750</v>
      </c>
      <c r="O147" s="53">
        <f t="shared" si="4"/>
        <v>27342</v>
      </c>
    </row>
    <row r="148" spans="1:15">
      <c r="A148">
        <v>147</v>
      </c>
      <c r="B148">
        <v>1600</v>
      </c>
      <c r="C148">
        <v>500</v>
      </c>
      <c r="D148">
        <v>344</v>
      </c>
      <c r="E148">
        <v>8400</v>
      </c>
      <c r="F148">
        <v>300</v>
      </c>
      <c r="G148">
        <v>552</v>
      </c>
      <c r="H148">
        <v>300</v>
      </c>
      <c r="I148">
        <v>17899</v>
      </c>
      <c r="J148">
        <v>257</v>
      </c>
      <c r="K148">
        <v>50</v>
      </c>
      <c r="L148">
        <v>100</v>
      </c>
      <c r="M148">
        <v>1300</v>
      </c>
      <c r="O148" s="53">
        <f t="shared" si="4"/>
        <v>31602</v>
      </c>
    </row>
    <row r="149" spans="1:15">
      <c r="A149">
        <v>148</v>
      </c>
      <c r="B149">
        <v>1280</v>
      </c>
      <c r="C149">
        <v>1300</v>
      </c>
      <c r="D149">
        <v>540</v>
      </c>
      <c r="E149">
        <v>3400</v>
      </c>
      <c r="F149">
        <v>200</v>
      </c>
      <c r="G149">
        <v>480</v>
      </c>
      <c r="H149">
        <v>500</v>
      </c>
      <c r="I149">
        <v>5900</v>
      </c>
      <c r="J149">
        <v>0</v>
      </c>
      <c r="K149">
        <v>300</v>
      </c>
      <c r="L149">
        <v>0</v>
      </c>
      <c r="M149">
        <v>1000</v>
      </c>
      <c r="O149" s="53">
        <f t="shared" si="4"/>
        <v>14900</v>
      </c>
    </row>
    <row r="150" spans="1:15">
      <c r="A150">
        <v>149</v>
      </c>
      <c r="B150">
        <v>6000</v>
      </c>
      <c r="C150">
        <v>3000</v>
      </c>
      <c r="D150">
        <v>1000</v>
      </c>
      <c r="E150">
        <v>8500</v>
      </c>
      <c r="F150">
        <v>2000</v>
      </c>
      <c r="G150">
        <v>500</v>
      </c>
      <c r="H150">
        <v>300</v>
      </c>
      <c r="I150">
        <v>12000</v>
      </c>
      <c r="J150">
        <v>250</v>
      </c>
      <c r="K150">
        <v>0</v>
      </c>
      <c r="L150">
        <v>1000</v>
      </c>
      <c r="M150">
        <v>3000</v>
      </c>
      <c r="O150" s="53">
        <f t="shared" si="4"/>
        <v>37550</v>
      </c>
    </row>
    <row r="151" spans="1:15">
      <c r="A151">
        <v>150</v>
      </c>
      <c r="B151">
        <v>2500</v>
      </c>
      <c r="C151">
        <v>200</v>
      </c>
      <c r="D151">
        <v>100</v>
      </c>
      <c r="E151">
        <v>0</v>
      </c>
      <c r="F151">
        <v>0</v>
      </c>
      <c r="G151">
        <v>0</v>
      </c>
      <c r="H151">
        <v>0</v>
      </c>
      <c r="I151">
        <v>3000</v>
      </c>
      <c r="J151">
        <v>400</v>
      </c>
      <c r="K151">
        <v>0</v>
      </c>
      <c r="L151">
        <v>0</v>
      </c>
      <c r="M151">
        <v>200</v>
      </c>
      <c r="O151" s="53">
        <f t="shared" si="4"/>
        <v>6400</v>
      </c>
    </row>
    <row r="152" spans="1:15">
      <c r="A152">
        <v>151</v>
      </c>
      <c r="B152">
        <v>1300</v>
      </c>
      <c r="C152">
        <v>700</v>
      </c>
      <c r="D152">
        <v>500</v>
      </c>
      <c r="E152">
        <v>750</v>
      </c>
      <c r="F152">
        <v>1000</v>
      </c>
      <c r="G152">
        <v>0</v>
      </c>
      <c r="H152">
        <v>360</v>
      </c>
      <c r="I152">
        <v>5000</v>
      </c>
      <c r="J152">
        <v>200</v>
      </c>
      <c r="K152">
        <v>0</v>
      </c>
      <c r="L152">
        <v>125</v>
      </c>
      <c r="M152">
        <v>800</v>
      </c>
      <c r="O152" s="53">
        <f t="shared" si="4"/>
        <v>10735</v>
      </c>
    </row>
    <row r="153" spans="1:15">
      <c r="A153">
        <v>152</v>
      </c>
      <c r="B153">
        <v>5200</v>
      </c>
      <c r="C153">
        <v>720</v>
      </c>
      <c r="D153">
        <v>600</v>
      </c>
      <c r="E153">
        <v>8400</v>
      </c>
      <c r="F153">
        <v>500</v>
      </c>
      <c r="G153">
        <v>900</v>
      </c>
      <c r="H153">
        <v>930</v>
      </c>
      <c r="I153">
        <v>6000</v>
      </c>
      <c r="J153">
        <v>500</v>
      </c>
      <c r="K153">
        <v>0</v>
      </c>
      <c r="L153">
        <v>420</v>
      </c>
      <c r="M153">
        <v>1400</v>
      </c>
      <c r="O153" s="53">
        <f t="shared" si="4"/>
        <v>25570</v>
      </c>
    </row>
    <row r="154" spans="1:15">
      <c r="A154">
        <v>153</v>
      </c>
      <c r="B154">
        <v>800</v>
      </c>
      <c r="C154">
        <v>300</v>
      </c>
      <c r="D154">
        <v>100</v>
      </c>
      <c r="E154">
        <v>0</v>
      </c>
      <c r="F154">
        <v>0</v>
      </c>
      <c r="G154">
        <v>0</v>
      </c>
      <c r="H154">
        <v>100</v>
      </c>
      <c r="I154">
        <v>8000</v>
      </c>
      <c r="J154">
        <v>100</v>
      </c>
      <c r="K154">
        <v>0</v>
      </c>
      <c r="L154">
        <v>0</v>
      </c>
      <c r="M154">
        <v>500</v>
      </c>
      <c r="O154" s="53">
        <f t="shared" si="4"/>
        <v>9900</v>
      </c>
    </row>
    <row r="155" spans="1:15">
      <c r="A155">
        <v>154</v>
      </c>
      <c r="B155">
        <v>200</v>
      </c>
      <c r="C155">
        <v>500</v>
      </c>
      <c r="D155">
        <v>150</v>
      </c>
      <c r="E155">
        <v>0</v>
      </c>
      <c r="F155">
        <v>150</v>
      </c>
      <c r="G155">
        <v>150</v>
      </c>
      <c r="H155">
        <v>100</v>
      </c>
      <c r="I155">
        <v>300</v>
      </c>
      <c r="J155">
        <v>100</v>
      </c>
      <c r="K155">
        <v>100</v>
      </c>
      <c r="L155">
        <v>80</v>
      </c>
      <c r="M155">
        <v>500</v>
      </c>
      <c r="O155" s="53">
        <f t="shared" si="4"/>
        <v>2330</v>
      </c>
    </row>
    <row r="156" spans="1:15">
      <c r="A156">
        <v>155</v>
      </c>
      <c r="B156">
        <v>300</v>
      </c>
      <c r="C156">
        <v>3500</v>
      </c>
      <c r="D156">
        <v>400</v>
      </c>
      <c r="E156">
        <v>0</v>
      </c>
      <c r="F156">
        <v>300</v>
      </c>
      <c r="G156">
        <v>0</v>
      </c>
      <c r="H156">
        <v>3000</v>
      </c>
      <c r="I156">
        <v>3000</v>
      </c>
      <c r="J156">
        <v>140</v>
      </c>
      <c r="K156">
        <v>0</v>
      </c>
      <c r="L156">
        <v>270</v>
      </c>
      <c r="M156">
        <v>200</v>
      </c>
      <c r="O156" s="53">
        <f t="shared" si="4"/>
        <v>11110</v>
      </c>
    </row>
    <row r="157" spans="1:15">
      <c r="A157">
        <v>156</v>
      </c>
      <c r="B157">
        <v>2503</v>
      </c>
      <c r="C157">
        <v>0</v>
      </c>
      <c r="D157">
        <v>0</v>
      </c>
      <c r="E157">
        <v>12552</v>
      </c>
      <c r="F157">
        <v>0</v>
      </c>
      <c r="G157">
        <v>0</v>
      </c>
      <c r="H157">
        <v>64</v>
      </c>
      <c r="I157">
        <v>7560</v>
      </c>
      <c r="J157">
        <v>500</v>
      </c>
      <c r="K157">
        <v>0</v>
      </c>
      <c r="L157">
        <v>0</v>
      </c>
      <c r="M157">
        <v>1299</v>
      </c>
      <c r="O157" s="53">
        <f t="shared" si="4"/>
        <v>24478</v>
      </c>
    </row>
    <row r="158" spans="1:15">
      <c r="A158">
        <v>157</v>
      </c>
      <c r="B158">
        <v>690</v>
      </c>
      <c r="C158">
        <v>68</v>
      </c>
      <c r="D158">
        <v>52</v>
      </c>
      <c r="E158">
        <v>0</v>
      </c>
      <c r="F158">
        <v>516</v>
      </c>
      <c r="G158">
        <v>0</v>
      </c>
      <c r="H158">
        <v>121</v>
      </c>
      <c r="I158">
        <v>1901</v>
      </c>
      <c r="J158">
        <v>817</v>
      </c>
      <c r="K158">
        <v>0</v>
      </c>
      <c r="L158">
        <v>262</v>
      </c>
      <c r="M158">
        <v>726</v>
      </c>
      <c r="O158" s="53">
        <f t="shared" si="4"/>
        <v>5153</v>
      </c>
    </row>
    <row r="159" spans="1:15">
      <c r="A159">
        <v>158</v>
      </c>
      <c r="B159">
        <v>60</v>
      </c>
      <c r="C159">
        <v>100</v>
      </c>
      <c r="D159">
        <v>30</v>
      </c>
      <c r="E159">
        <v>0</v>
      </c>
      <c r="F159">
        <v>0</v>
      </c>
      <c r="G159">
        <v>0</v>
      </c>
      <c r="H159">
        <v>80</v>
      </c>
      <c r="I159">
        <v>0</v>
      </c>
      <c r="J159">
        <v>400</v>
      </c>
      <c r="K159">
        <v>400</v>
      </c>
      <c r="L159">
        <v>100</v>
      </c>
      <c r="M159">
        <v>2000</v>
      </c>
      <c r="O159" s="53">
        <f t="shared" si="4"/>
        <v>3170</v>
      </c>
    </row>
    <row r="160" spans="1:15">
      <c r="A160">
        <v>159</v>
      </c>
      <c r="B160">
        <v>2100</v>
      </c>
      <c r="C160">
        <v>400</v>
      </c>
      <c r="D160">
        <v>269</v>
      </c>
      <c r="E160">
        <v>8086</v>
      </c>
      <c r="F160">
        <v>0</v>
      </c>
      <c r="G160">
        <v>808</v>
      </c>
      <c r="H160">
        <v>48</v>
      </c>
      <c r="I160">
        <v>12297</v>
      </c>
      <c r="J160">
        <v>400</v>
      </c>
      <c r="K160">
        <v>134</v>
      </c>
      <c r="L160">
        <v>202</v>
      </c>
      <c r="M160">
        <v>404</v>
      </c>
      <c r="O160" s="53">
        <f t="shared" si="4"/>
        <v>25148</v>
      </c>
    </row>
    <row r="161" spans="1:15">
      <c r="A161">
        <v>160</v>
      </c>
      <c r="B161">
        <v>2000</v>
      </c>
      <c r="C161">
        <v>300</v>
      </c>
      <c r="D161">
        <v>450</v>
      </c>
      <c r="E161">
        <v>4300</v>
      </c>
      <c r="F161">
        <v>700</v>
      </c>
      <c r="G161">
        <v>540</v>
      </c>
      <c r="H161">
        <v>200</v>
      </c>
      <c r="I161">
        <v>4730</v>
      </c>
      <c r="J161">
        <v>640</v>
      </c>
      <c r="K161">
        <v>90</v>
      </c>
      <c r="L161">
        <v>150</v>
      </c>
      <c r="M161">
        <v>1000</v>
      </c>
      <c r="O161" s="53">
        <f t="shared" si="4"/>
        <v>15100</v>
      </c>
    </row>
    <row r="162" spans="1:15">
      <c r="A162">
        <v>161</v>
      </c>
      <c r="B162">
        <v>0</v>
      </c>
      <c r="C162">
        <v>350</v>
      </c>
      <c r="D162">
        <v>50</v>
      </c>
      <c r="E162">
        <v>3000</v>
      </c>
      <c r="F162">
        <v>0</v>
      </c>
      <c r="G162">
        <v>200</v>
      </c>
      <c r="H162">
        <v>700</v>
      </c>
      <c r="I162">
        <v>6000</v>
      </c>
      <c r="J162">
        <v>600</v>
      </c>
      <c r="K162">
        <v>500</v>
      </c>
      <c r="L162">
        <v>150</v>
      </c>
      <c r="M162">
        <v>1000</v>
      </c>
      <c r="O162" s="53">
        <f t="shared" ref="O162:O198" si="5">SUM(B162:M162)</f>
        <v>12550</v>
      </c>
    </row>
    <row r="163" spans="1:15">
      <c r="A163">
        <v>162</v>
      </c>
      <c r="B163">
        <v>5100</v>
      </c>
      <c r="C163">
        <v>1000</v>
      </c>
      <c r="D163">
        <v>400</v>
      </c>
      <c r="E163">
        <v>0</v>
      </c>
      <c r="F163">
        <v>0</v>
      </c>
      <c r="G163">
        <v>360</v>
      </c>
      <c r="H163">
        <v>520</v>
      </c>
      <c r="I163">
        <v>5858</v>
      </c>
      <c r="J163">
        <v>214</v>
      </c>
      <c r="K163">
        <v>300</v>
      </c>
      <c r="L163">
        <v>0</v>
      </c>
      <c r="M163">
        <v>800</v>
      </c>
      <c r="O163" s="53">
        <f t="shared" si="5"/>
        <v>14552</v>
      </c>
    </row>
    <row r="164" spans="1:15">
      <c r="A164">
        <v>163</v>
      </c>
      <c r="B164">
        <v>500</v>
      </c>
      <c r="C164">
        <v>200</v>
      </c>
      <c r="D164">
        <v>500</v>
      </c>
      <c r="E164">
        <v>7720</v>
      </c>
      <c r="F164">
        <v>300</v>
      </c>
      <c r="G164">
        <v>200</v>
      </c>
      <c r="H164">
        <v>0</v>
      </c>
      <c r="I164">
        <v>7500</v>
      </c>
      <c r="J164">
        <v>200</v>
      </c>
      <c r="K164">
        <v>0</v>
      </c>
      <c r="L164">
        <v>200</v>
      </c>
      <c r="M164">
        <v>1000</v>
      </c>
      <c r="O164" s="53">
        <f t="shared" si="5"/>
        <v>18320</v>
      </c>
    </row>
    <row r="165" spans="1:15">
      <c r="A165">
        <v>164</v>
      </c>
      <c r="B165">
        <v>1115</v>
      </c>
      <c r="C165">
        <v>450</v>
      </c>
      <c r="D165">
        <v>2000</v>
      </c>
      <c r="E165">
        <v>0</v>
      </c>
      <c r="F165">
        <v>0</v>
      </c>
      <c r="G165">
        <v>0</v>
      </c>
      <c r="H165">
        <v>350</v>
      </c>
      <c r="I165">
        <v>8000</v>
      </c>
      <c r="J165">
        <v>500</v>
      </c>
      <c r="K165">
        <v>450</v>
      </c>
      <c r="L165">
        <v>110</v>
      </c>
      <c r="M165">
        <v>250</v>
      </c>
      <c r="O165" s="53">
        <f t="shared" si="5"/>
        <v>13225</v>
      </c>
    </row>
    <row r="166" spans="1:15">
      <c r="A166">
        <v>165</v>
      </c>
      <c r="B166">
        <v>200</v>
      </c>
      <c r="C166">
        <v>500</v>
      </c>
      <c r="D166">
        <v>7000</v>
      </c>
      <c r="E166">
        <v>0</v>
      </c>
      <c r="F166">
        <v>50</v>
      </c>
      <c r="G166">
        <v>0</v>
      </c>
      <c r="H166">
        <v>2000</v>
      </c>
      <c r="I166">
        <v>12000</v>
      </c>
      <c r="J166">
        <v>850</v>
      </c>
      <c r="K166">
        <v>200</v>
      </c>
      <c r="L166">
        <v>700</v>
      </c>
      <c r="M166">
        <v>200</v>
      </c>
      <c r="O166" s="53">
        <f t="shared" si="5"/>
        <v>23700</v>
      </c>
    </row>
    <row r="167" spans="1:15">
      <c r="A167">
        <v>166</v>
      </c>
      <c r="B167">
        <v>2600</v>
      </c>
      <c r="C167">
        <v>1000</v>
      </c>
      <c r="D167">
        <v>100</v>
      </c>
      <c r="E167">
        <v>6200</v>
      </c>
      <c r="F167">
        <v>2500</v>
      </c>
      <c r="G167">
        <v>360</v>
      </c>
      <c r="I167">
        <v>12000</v>
      </c>
      <c r="J167">
        <v>50</v>
      </c>
      <c r="K167">
        <v>0</v>
      </c>
      <c r="L167">
        <v>200</v>
      </c>
      <c r="M167">
        <v>1000</v>
      </c>
      <c r="O167" s="53">
        <f t="shared" si="5"/>
        <v>26010</v>
      </c>
    </row>
    <row r="168" spans="1:15">
      <c r="A168">
        <v>167</v>
      </c>
      <c r="B168">
        <v>800</v>
      </c>
      <c r="C168">
        <v>500</v>
      </c>
      <c r="D168">
        <v>400</v>
      </c>
      <c r="E168">
        <v>4500</v>
      </c>
      <c r="F168">
        <v>200</v>
      </c>
      <c r="G168">
        <v>500</v>
      </c>
      <c r="H168">
        <v>400</v>
      </c>
      <c r="I168">
        <v>7000</v>
      </c>
      <c r="J168">
        <v>300</v>
      </c>
      <c r="K168">
        <v>50</v>
      </c>
      <c r="L168">
        <v>200</v>
      </c>
      <c r="M168">
        <v>1000</v>
      </c>
      <c r="O168" s="53">
        <f t="shared" si="5"/>
        <v>15850</v>
      </c>
    </row>
    <row r="169" spans="1:15">
      <c r="A169">
        <v>168</v>
      </c>
      <c r="B169">
        <v>3200</v>
      </c>
      <c r="C169">
        <v>156</v>
      </c>
      <c r="D169">
        <v>1325</v>
      </c>
      <c r="E169">
        <v>0</v>
      </c>
      <c r="F169">
        <v>0</v>
      </c>
      <c r="G169">
        <v>0</v>
      </c>
      <c r="H169">
        <v>512</v>
      </c>
      <c r="I169">
        <v>420</v>
      </c>
      <c r="J169">
        <v>254</v>
      </c>
      <c r="K169">
        <v>0</v>
      </c>
      <c r="L169">
        <v>325</v>
      </c>
      <c r="M169">
        <v>595</v>
      </c>
      <c r="O169" s="53">
        <f t="shared" si="5"/>
        <v>6787</v>
      </c>
    </row>
    <row r="170" spans="1:15">
      <c r="A170">
        <v>169</v>
      </c>
      <c r="B170">
        <v>3600</v>
      </c>
      <c r="C170">
        <v>600</v>
      </c>
      <c r="D170">
        <v>50</v>
      </c>
      <c r="E170">
        <v>0</v>
      </c>
      <c r="F170">
        <v>650</v>
      </c>
      <c r="G170">
        <v>1200</v>
      </c>
      <c r="H170">
        <v>1000</v>
      </c>
      <c r="I170">
        <v>6100</v>
      </c>
      <c r="J170">
        <v>700</v>
      </c>
      <c r="K170">
        <v>0</v>
      </c>
      <c r="L170">
        <v>500</v>
      </c>
      <c r="M170">
        <v>500</v>
      </c>
      <c r="O170" s="53">
        <f t="shared" si="5"/>
        <v>14900</v>
      </c>
    </row>
    <row r="171" spans="1:15">
      <c r="A171">
        <v>170</v>
      </c>
      <c r="B171">
        <v>2400</v>
      </c>
      <c r="C171">
        <v>360</v>
      </c>
      <c r="D171">
        <v>768</v>
      </c>
      <c r="E171">
        <v>14976</v>
      </c>
      <c r="F171">
        <v>300</v>
      </c>
      <c r="G171">
        <v>1392</v>
      </c>
      <c r="H171">
        <v>168</v>
      </c>
      <c r="I171">
        <v>8000</v>
      </c>
      <c r="J171">
        <v>500</v>
      </c>
      <c r="K171">
        <v>168</v>
      </c>
      <c r="L171">
        <v>0</v>
      </c>
      <c r="M171">
        <v>700</v>
      </c>
      <c r="O171" s="53">
        <f t="shared" si="5"/>
        <v>29732</v>
      </c>
    </row>
    <row r="172" spans="1:15">
      <c r="A172">
        <v>171</v>
      </c>
      <c r="B172">
        <v>150</v>
      </c>
      <c r="C172">
        <v>7000</v>
      </c>
      <c r="D172">
        <v>724</v>
      </c>
      <c r="E172">
        <v>7100</v>
      </c>
      <c r="F172">
        <v>980</v>
      </c>
      <c r="G172">
        <v>0</v>
      </c>
      <c r="H172">
        <v>1300</v>
      </c>
      <c r="I172">
        <v>6000</v>
      </c>
      <c r="J172">
        <v>410</v>
      </c>
      <c r="K172">
        <v>0</v>
      </c>
      <c r="L172">
        <v>0</v>
      </c>
      <c r="M172">
        <v>400</v>
      </c>
      <c r="O172" s="53">
        <f t="shared" si="5"/>
        <v>24064</v>
      </c>
    </row>
    <row r="173" spans="1:15">
      <c r="A173">
        <v>172</v>
      </c>
      <c r="B173">
        <v>2400</v>
      </c>
      <c r="C173">
        <v>800</v>
      </c>
      <c r="D173">
        <v>600</v>
      </c>
      <c r="E173">
        <v>10000</v>
      </c>
      <c r="F173">
        <v>1000</v>
      </c>
      <c r="G173">
        <v>420</v>
      </c>
      <c r="H173">
        <v>200</v>
      </c>
      <c r="I173">
        <v>12000</v>
      </c>
      <c r="J173">
        <v>150</v>
      </c>
      <c r="K173">
        <v>0</v>
      </c>
      <c r="L173">
        <v>0</v>
      </c>
      <c r="M173">
        <v>3000</v>
      </c>
      <c r="O173" s="53">
        <f t="shared" si="5"/>
        <v>30570</v>
      </c>
    </row>
    <row r="174" spans="1:15">
      <c r="A174">
        <v>173</v>
      </c>
      <c r="B174">
        <v>200</v>
      </c>
      <c r="C174">
        <v>120</v>
      </c>
      <c r="D174">
        <v>0</v>
      </c>
      <c r="E174">
        <v>600</v>
      </c>
      <c r="F174">
        <v>300</v>
      </c>
      <c r="G174">
        <v>20</v>
      </c>
      <c r="H174">
        <v>0</v>
      </c>
      <c r="I174">
        <v>6601</v>
      </c>
      <c r="J174">
        <v>114</v>
      </c>
      <c r="K174">
        <v>0</v>
      </c>
      <c r="L174">
        <v>0</v>
      </c>
      <c r="M174">
        <v>600</v>
      </c>
      <c r="O174" s="53">
        <f t="shared" si="5"/>
        <v>8555</v>
      </c>
    </row>
    <row r="175" spans="1:15">
      <c r="A175">
        <v>174</v>
      </c>
      <c r="B175">
        <v>1428</v>
      </c>
      <c r="C175">
        <v>290</v>
      </c>
      <c r="D175">
        <v>385</v>
      </c>
      <c r="E175">
        <v>15427</v>
      </c>
      <c r="F175">
        <v>56</v>
      </c>
      <c r="G175">
        <v>171</v>
      </c>
      <c r="H175">
        <v>142</v>
      </c>
      <c r="I175">
        <v>11000</v>
      </c>
      <c r="J175">
        <v>357</v>
      </c>
      <c r="K175">
        <v>0</v>
      </c>
      <c r="L175">
        <v>285</v>
      </c>
      <c r="M175">
        <v>714</v>
      </c>
      <c r="O175" s="53">
        <f t="shared" si="5"/>
        <v>30255</v>
      </c>
    </row>
    <row r="176" spans="1:15">
      <c r="A176">
        <v>175</v>
      </c>
      <c r="B176">
        <v>1200</v>
      </c>
      <c r="C176">
        <v>1000</v>
      </c>
      <c r="D176">
        <v>250</v>
      </c>
      <c r="E176">
        <v>0</v>
      </c>
      <c r="F176">
        <v>400</v>
      </c>
      <c r="G176">
        <v>0</v>
      </c>
      <c r="H176">
        <v>200</v>
      </c>
      <c r="I176">
        <v>15226</v>
      </c>
      <c r="J176">
        <v>1500</v>
      </c>
      <c r="K176">
        <v>0</v>
      </c>
      <c r="L176">
        <v>500</v>
      </c>
      <c r="M176">
        <v>5000</v>
      </c>
      <c r="O176" s="53">
        <f t="shared" si="5"/>
        <v>25276</v>
      </c>
    </row>
    <row r="177" spans="1:15">
      <c r="A177">
        <v>176</v>
      </c>
      <c r="B177">
        <v>3500</v>
      </c>
      <c r="C177">
        <v>1500</v>
      </c>
      <c r="D177">
        <v>600</v>
      </c>
      <c r="E177">
        <v>12000</v>
      </c>
      <c r="F177">
        <v>2500</v>
      </c>
      <c r="G177">
        <v>1500</v>
      </c>
      <c r="H177">
        <v>700</v>
      </c>
      <c r="I177">
        <v>13000</v>
      </c>
      <c r="J177">
        <v>900</v>
      </c>
      <c r="K177">
        <v>0</v>
      </c>
      <c r="L177">
        <v>200</v>
      </c>
      <c r="M177">
        <v>2000</v>
      </c>
      <c r="O177" s="53">
        <f t="shared" si="5"/>
        <v>38400</v>
      </c>
    </row>
    <row r="178" spans="1:15">
      <c r="A178">
        <v>177</v>
      </c>
      <c r="B178">
        <v>300</v>
      </c>
      <c r="C178">
        <v>400</v>
      </c>
      <c r="D178">
        <v>100</v>
      </c>
      <c r="E178">
        <v>3100</v>
      </c>
      <c r="F178">
        <v>300</v>
      </c>
      <c r="G178">
        <v>450</v>
      </c>
      <c r="H178">
        <v>0</v>
      </c>
      <c r="I178">
        <v>7000</v>
      </c>
      <c r="J178">
        <v>300</v>
      </c>
      <c r="K178">
        <v>100</v>
      </c>
      <c r="L178">
        <v>0</v>
      </c>
      <c r="M178">
        <v>800</v>
      </c>
      <c r="O178" s="53">
        <f t="shared" si="5"/>
        <v>12850</v>
      </c>
    </row>
    <row r="179" spans="1:15">
      <c r="A179">
        <v>178</v>
      </c>
      <c r="B179">
        <v>5200</v>
      </c>
      <c r="C179">
        <v>810</v>
      </c>
      <c r="D179">
        <v>500</v>
      </c>
      <c r="E179">
        <v>0</v>
      </c>
      <c r="F179">
        <v>0</v>
      </c>
      <c r="G179">
        <v>0</v>
      </c>
      <c r="H179">
        <v>1000</v>
      </c>
      <c r="I179">
        <v>3000</v>
      </c>
      <c r="J179">
        <v>700</v>
      </c>
      <c r="K179">
        <v>500</v>
      </c>
      <c r="L179">
        <v>300</v>
      </c>
      <c r="M179">
        <v>600</v>
      </c>
      <c r="O179" s="53">
        <f t="shared" si="5"/>
        <v>12610</v>
      </c>
    </row>
    <row r="180" spans="1:15">
      <c r="A180">
        <v>179</v>
      </c>
      <c r="B180">
        <v>500</v>
      </c>
      <c r="C180">
        <v>800</v>
      </c>
      <c r="D180">
        <v>235</v>
      </c>
      <c r="E180">
        <v>6570</v>
      </c>
      <c r="F180">
        <v>150</v>
      </c>
      <c r="G180">
        <v>0</v>
      </c>
      <c r="H180">
        <v>800</v>
      </c>
      <c r="I180">
        <v>6200</v>
      </c>
      <c r="J180">
        <v>250</v>
      </c>
      <c r="K180">
        <v>0</v>
      </c>
      <c r="L180">
        <v>800</v>
      </c>
      <c r="M180">
        <v>1800</v>
      </c>
      <c r="O180" s="53">
        <f t="shared" si="5"/>
        <v>18105</v>
      </c>
    </row>
    <row r="181" spans="1:15">
      <c r="A181">
        <v>180</v>
      </c>
      <c r="B181">
        <v>1000</v>
      </c>
      <c r="C181">
        <v>500</v>
      </c>
      <c r="D181">
        <v>1100</v>
      </c>
      <c r="E181">
        <v>9600</v>
      </c>
      <c r="F181">
        <v>0</v>
      </c>
      <c r="G181">
        <v>200</v>
      </c>
      <c r="H181">
        <v>1200</v>
      </c>
      <c r="I181">
        <v>10000</v>
      </c>
      <c r="J181">
        <v>500</v>
      </c>
      <c r="K181">
        <v>0</v>
      </c>
      <c r="L181">
        <v>0</v>
      </c>
      <c r="M181">
        <v>1000</v>
      </c>
      <c r="O181" s="53">
        <f t="shared" si="5"/>
        <v>25100</v>
      </c>
    </row>
    <row r="182" spans="1:15">
      <c r="A182">
        <v>181</v>
      </c>
      <c r="B182">
        <v>3000</v>
      </c>
      <c r="C182">
        <v>5000</v>
      </c>
      <c r="D182">
        <v>3000</v>
      </c>
      <c r="E182">
        <v>15000</v>
      </c>
      <c r="F182">
        <v>20000</v>
      </c>
      <c r="G182">
        <v>2000</v>
      </c>
      <c r="H182">
        <v>2000</v>
      </c>
      <c r="I182">
        <v>10000</v>
      </c>
      <c r="J182">
        <v>500</v>
      </c>
      <c r="K182">
        <v>100</v>
      </c>
      <c r="L182">
        <v>500</v>
      </c>
      <c r="M182">
        <v>5000</v>
      </c>
      <c r="O182" s="53">
        <f t="shared" si="5"/>
        <v>66100</v>
      </c>
    </row>
    <row r="183" spans="1:15">
      <c r="A183">
        <v>182</v>
      </c>
      <c r="B183">
        <v>1200</v>
      </c>
      <c r="C183">
        <v>500</v>
      </c>
      <c r="D183">
        <v>100</v>
      </c>
      <c r="E183">
        <v>4100</v>
      </c>
      <c r="F183">
        <v>200</v>
      </c>
      <c r="G183">
        <v>0</v>
      </c>
      <c r="H183">
        <v>150</v>
      </c>
      <c r="I183">
        <v>3800</v>
      </c>
      <c r="J183">
        <v>600</v>
      </c>
      <c r="K183">
        <v>300</v>
      </c>
      <c r="L183">
        <v>65</v>
      </c>
      <c r="M183">
        <v>750</v>
      </c>
      <c r="O183" s="53">
        <f t="shared" si="5"/>
        <v>11765</v>
      </c>
    </row>
    <row r="184" spans="1:15">
      <c r="A184">
        <v>183</v>
      </c>
      <c r="B184">
        <v>1500</v>
      </c>
      <c r="C184">
        <v>2000</v>
      </c>
      <c r="D184">
        <v>2500</v>
      </c>
      <c r="E184">
        <v>0</v>
      </c>
      <c r="F184">
        <v>1000</v>
      </c>
      <c r="G184">
        <v>4000</v>
      </c>
      <c r="H184">
        <v>0</v>
      </c>
      <c r="I184">
        <v>20000</v>
      </c>
      <c r="J184">
        <v>0</v>
      </c>
      <c r="K184">
        <v>0</v>
      </c>
      <c r="L184">
        <v>0</v>
      </c>
      <c r="M184">
        <v>3000</v>
      </c>
      <c r="O184" s="53">
        <f t="shared" si="5"/>
        <v>34000</v>
      </c>
    </row>
    <row r="185" spans="1:15">
      <c r="A185">
        <v>184</v>
      </c>
      <c r="B185">
        <v>60</v>
      </c>
      <c r="C185">
        <v>700</v>
      </c>
      <c r="D185">
        <v>11000</v>
      </c>
      <c r="E185">
        <v>0</v>
      </c>
      <c r="F185">
        <v>0</v>
      </c>
      <c r="G185">
        <v>0</v>
      </c>
      <c r="H185">
        <v>500</v>
      </c>
      <c r="I185">
        <v>8000</v>
      </c>
      <c r="J185">
        <v>350</v>
      </c>
      <c r="K185">
        <v>60</v>
      </c>
      <c r="L185">
        <v>0</v>
      </c>
      <c r="M185">
        <v>1000</v>
      </c>
      <c r="O185" s="53">
        <f t="shared" si="5"/>
        <v>21670</v>
      </c>
    </row>
    <row r="186" spans="1:15">
      <c r="A186">
        <v>185</v>
      </c>
      <c r="B186">
        <v>3000</v>
      </c>
      <c r="C186">
        <v>1000</v>
      </c>
      <c r="D186">
        <v>250</v>
      </c>
      <c r="E186">
        <v>13000</v>
      </c>
      <c r="F186">
        <v>500</v>
      </c>
      <c r="G186">
        <v>600</v>
      </c>
      <c r="H186">
        <v>750</v>
      </c>
      <c r="I186">
        <v>22500</v>
      </c>
      <c r="J186">
        <v>1000</v>
      </c>
      <c r="K186">
        <v>25</v>
      </c>
      <c r="L186">
        <v>100</v>
      </c>
      <c r="M186">
        <v>1000</v>
      </c>
      <c r="O186" s="53">
        <f t="shared" si="5"/>
        <v>43725</v>
      </c>
    </row>
    <row r="187" spans="1:15">
      <c r="A187">
        <v>186</v>
      </c>
      <c r="B187">
        <v>2000</v>
      </c>
      <c r="C187">
        <v>400</v>
      </c>
      <c r="D187">
        <v>45</v>
      </c>
      <c r="E187">
        <v>4000</v>
      </c>
      <c r="F187">
        <v>0</v>
      </c>
      <c r="G187">
        <v>0</v>
      </c>
      <c r="H187">
        <v>0</v>
      </c>
      <c r="I187">
        <v>4000</v>
      </c>
      <c r="J187">
        <v>300</v>
      </c>
      <c r="K187">
        <v>0</v>
      </c>
      <c r="L187">
        <v>200</v>
      </c>
      <c r="M187">
        <v>500</v>
      </c>
      <c r="O187" s="53">
        <f t="shared" si="5"/>
        <v>11445</v>
      </c>
    </row>
    <row r="188" spans="1:15">
      <c r="A188">
        <v>187</v>
      </c>
      <c r="B188">
        <v>4000</v>
      </c>
      <c r="C188">
        <v>2500</v>
      </c>
      <c r="D188">
        <v>3000</v>
      </c>
      <c r="E188">
        <v>600</v>
      </c>
      <c r="F188">
        <v>400</v>
      </c>
      <c r="G188">
        <v>0</v>
      </c>
      <c r="H188">
        <v>1400</v>
      </c>
      <c r="I188">
        <v>6800</v>
      </c>
      <c r="J188">
        <v>250</v>
      </c>
      <c r="K188">
        <v>150</v>
      </c>
      <c r="L188">
        <v>600</v>
      </c>
      <c r="M188">
        <v>1600</v>
      </c>
      <c r="O188" s="53">
        <f t="shared" si="5"/>
        <v>21300</v>
      </c>
    </row>
    <row r="189" spans="1:15">
      <c r="A189">
        <v>188</v>
      </c>
      <c r="B189">
        <v>8000</v>
      </c>
      <c r="C189">
        <v>7000</v>
      </c>
      <c r="D189">
        <v>1200</v>
      </c>
      <c r="E189">
        <v>12000</v>
      </c>
      <c r="F189">
        <v>5000</v>
      </c>
      <c r="G189">
        <v>500</v>
      </c>
      <c r="H189">
        <v>500</v>
      </c>
      <c r="I189">
        <v>23000</v>
      </c>
      <c r="J189">
        <v>800</v>
      </c>
      <c r="K189">
        <v>0</v>
      </c>
      <c r="L189">
        <v>1000</v>
      </c>
      <c r="M189">
        <v>2000</v>
      </c>
      <c r="O189" s="53">
        <f t="shared" si="5"/>
        <v>61000</v>
      </c>
    </row>
    <row r="190" spans="1:15">
      <c r="A190">
        <v>189</v>
      </c>
      <c r="B190">
        <v>520</v>
      </c>
      <c r="C190">
        <v>240</v>
      </c>
      <c r="D190">
        <v>2180</v>
      </c>
      <c r="E190">
        <v>280</v>
      </c>
      <c r="F190">
        <v>450</v>
      </c>
      <c r="G190">
        <v>165</v>
      </c>
      <c r="H190">
        <v>520</v>
      </c>
      <c r="I190">
        <v>5500</v>
      </c>
      <c r="J190">
        <v>450</v>
      </c>
      <c r="K190">
        <v>100</v>
      </c>
      <c r="L190">
        <v>1150</v>
      </c>
      <c r="M190">
        <v>400</v>
      </c>
      <c r="O190" s="53">
        <f t="shared" si="5"/>
        <v>11955</v>
      </c>
    </row>
    <row r="191" spans="1:15">
      <c r="A191">
        <v>190</v>
      </c>
      <c r="B191">
        <v>1800</v>
      </c>
      <c r="C191">
        <v>600</v>
      </c>
      <c r="D191">
        <v>700</v>
      </c>
      <c r="E191">
        <v>1000</v>
      </c>
      <c r="F191">
        <v>200</v>
      </c>
      <c r="G191">
        <v>240</v>
      </c>
      <c r="H191">
        <v>500</v>
      </c>
      <c r="I191">
        <v>1540</v>
      </c>
      <c r="J191">
        <v>1000</v>
      </c>
      <c r="K191">
        <v>150</v>
      </c>
      <c r="L191">
        <v>100</v>
      </c>
      <c r="M191">
        <v>600</v>
      </c>
      <c r="O191" s="53">
        <f t="shared" si="5"/>
        <v>8430</v>
      </c>
    </row>
    <row r="192" spans="1:15">
      <c r="A192">
        <v>191</v>
      </c>
      <c r="B192">
        <v>4800</v>
      </c>
      <c r="C192">
        <v>5000</v>
      </c>
      <c r="D192">
        <v>100</v>
      </c>
      <c r="E192">
        <v>0</v>
      </c>
      <c r="F192">
        <v>400</v>
      </c>
      <c r="G192">
        <v>0</v>
      </c>
      <c r="H192">
        <v>400</v>
      </c>
      <c r="I192">
        <v>6000</v>
      </c>
      <c r="J192">
        <v>400</v>
      </c>
      <c r="K192">
        <v>0</v>
      </c>
      <c r="L192">
        <v>0</v>
      </c>
      <c r="M192">
        <v>1000</v>
      </c>
      <c r="O192" s="53">
        <f t="shared" si="5"/>
        <v>18100</v>
      </c>
    </row>
    <row r="193" spans="1:16">
      <c r="A193">
        <v>192</v>
      </c>
      <c r="B193">
        <v>6000</v>
      </c>
      <c r="C193">
        <v>250</v>
      </c>
      <c r="D193">
        <v>500</v>
      </c>
      <c r="E193">
        <v>12500</v>
      </c>
      <c r="F193">
        <v>500</v>
      </c>
      <c r="G193">
        <v>0</v>
      </c>
      <c r="H193">
        <v>0</v>
      </c>
      <c r="I193">
        <v>10000</v>
      </c>
      <c r="J193">
        <v>500</v>
      </c>
      <c r="K193">
        <v>0</v>
      </c>
      <c r="L193">
        <v>800</v>
      </c>
      <c r="M193">
        <v>1000</v>
      </c>
      <c r="O193" s="53">
        <f t="shared" si="5"/>
        <v>32050</v>
      </c>
    </row>
    <row r="194" spans="1:16">
      <c r="A194">
        <v>193</v>
      </c>
      <c r="B194">
        <v>2000</v>
      </c>
      <c r="C194">
        <v>500</v>
      </c>
      <c r="D194">
        <v>3000</v>
      </c>
      <c r="E194">
        <v>10000</v>
      </c>
      <c r="F194">
        <v>1000</v>
      </c>
      <c r="G194">
        <v>750</v>
      </c>
      <c r="H194">
        <v>5000</v>
      </c>
      <c r="I194">
        <v>6000</v>
      </c>
      <c r="J194">
        <v>900</v>
      </c>
      <c r="K194">
        <v>0</v>
      </c>
      <c r="L194">
        <v>500</v>
      </c>
      <c r="M194">
        <v>2500</v>
      </c>
      <c r="O194" s="53">
        <f t="shared" si="5"/>
        <v>32150</v>
      </c>
    </row>
    <row r="195" spans="1:16">
      <c r="A195">
        <v>194</v>
      </c>
      <c r="B195">
        <v>0</v>
      </c>
      <c r="C195">
        <v>57</v>
      </c>
      <c r="D195">
        <v>38</v>
      </c>
      <c r="E195">
        <v>0</v>
      </c>
      <c r="F195">
        <v>0</v>
      </c>
      <c r="G195">
        <v>0</v>
      </c>
      <c r="H195">
        <v>0</v>
      </c>
      <c r="I195">
        <v>1863</v>
      </c>
      <c r="J195">
        <v>200</v>
      </c>
      <c r="K195">
        <v>0</v>
      </c>
      <c r="L195">
        <v>0</v>
      </c>
      <c r="M195">
        <v>114</v>
      </c>
      <c r="O195" s="53">
        <f t="shared" si="5"/>
        <v>2272</v>
      </c>
    </row>
    <row r="196" spans="1:16">
      <c r="A196">
        <v>195</v>
      </c>
      <c r="B196">
        <v>13200</v>
      </c>
      <c r="C196">
        <v>500</v>
      </c>
      <c r="D196">
        <v>400</v>
      </c>
      <c r="E196">
        <v>0</v>
      </c>
      <c r="F196">
        <v>0</v>
      </c>
      <c r="G196">
        <v>960</v>
      </c>
      <c r="H196">
        <v>1500</v>
      </c>
      <c r="I196">
        <v>8500</v>
      </c>
      <c r="J196">
        <v>450</v>
      </c>
      <c r="K196">
        <v>300</v>
      </c>
      <c r="L196">
        <v>100</v>
      </c>
      <c r="M196">
        <v>600</v>
      </c>
      <c r="O196" s="53">
        <f t="shared" si="5"/>
        <v>26510</v>
      </c>
    </row>
    <row r="197" spans="1:16">
      <c r="A197">
        <v>196</v>
      </c>
      <c r="B197">
        <v>1000</v>
      </c>
      <c r="C197">
        <v>300</v>
      </c>
      <c r="D197">
        <v>20</v>
      </c>
      <c r="E197">
        <v>1400</v>
      </c>
      <c r="F197">
        <v>9500</v>
      </c>
      <c r="G197">
        <v>40</v>
      </c>
      <c r="H197">
        <v>0</v>
      </c>
      <c r="I197">
        <v>25000</v>
      </c>
      <c r="J197">
        <v>250</v>
      </c>
      <c r="K197">
        <v>0</v>
      </c>
      <c r="L197">
        <v>0</v>
      </c>
      <c r="M197">
        <v>5000</v>
      </c>
      <c r="O197" s="53">
        <f t="shared" si="5"/>
        <v>42510</v>
      </c>
    </row>
    <row r="198" spans="1:16">
      <c r="A198">
        <v>197</v>
      </c>
      <c r="B198">
        <v>4000</v>
      </c>
      <c r="C198">
        <v>2500</v>
      </c>
      <c r="D198">
        <v>900</v>
      </c>
      <c r="E198">
        <v>3000</v>
      </c>
      <c r="F198">
        <v>250</v>
      </c>
      <c r="G198">
        <v>0</v>
      </c>
      <c r="H198">
        <v>350</v>
      </c>
      <c r="I198">
        <v>5700</v>
      </c>
      <c r="J198">
        <v>250</v>
      </c>
      <c r="K198">
        <v>100</v>
      </c>
      <c r="L198">
        <v>250</v>
      </c>
      <c r="M198">
        <v>500</v>
      </c>
      <c r="O198" s="53">
        <f t="shared" si="5"/>
        <v>17800</v>
      </c>
    </row>
    <row r="201" spans="1:16">
      <c r="A201" t="s">
        <v>48</v>
      </c>
      <c r="B201" s="54">
        <f>SUM(B2:B198)</f>
        <v>492106</v>
      </c>
      <c r="C201" s="54">
        <f t="shared" ref="C201:M201" si="6">SUM(C2:C198)</f>
        <v>244717</v>
      </c>
      <c r="D201" s="54">
        <f t="shared" si="6"/>
        <v>204993</v>
      </c>
      <c r="E201" s="54">
        <f t="shared" si="6"/>
        <v>974944.81</v>
      </c>
      <c r="F201" s="54">
        <f t="shared" si="6"/>
        <v>208059</v>
      </c>
      <c r="G201" s="54">
        <f t="shared" si="6"/>
        <v>79460</v>
      </c>
      <c r="H201" s="54">
        <f t="shared" si="6"/>
        <v>146973</v>
      </c>
      <c r="I201" s="54">
        <f t="shared" si="6"/>
        <v>1677877</v>
      </c>
      <c r="J201" s="54">
        <f t="shared" si="6"/>
        <v>93477</v>
      </c>
      <c r="K201" s="54">
        <f t="shared" si="6"/>
        <v>30511</v>
      </c>
      <c r="L201" s="54">
        <f t="shared" si="6"/>
        <v>101193</v>
      </c>
      <c r="M201" s="54">
        <f t="shared" si="6"/>
        <v>250114</v>
      </c>
      <c r="N201" s="54"/>
      <c r="O201" s="54">
        <f>SUM(B201:M201)</f>
        <v>4504424.8100000005</v>
      </c>
      <c r="P201" s="54"/>
    </row>
    <row r="202" spans="1:16">
      <c r="A202" t="s">
        <v>49</v>
      </c>
      <c r="B202" s="41">
        <f t="shared" ref="B202:M202" si="7">B201/$O201</f>
        <v>0.10924946486119722</v>
      </c>
      <c r="C202" s="41">
        <f t="shared" si="7"/>
        <v>5.432813518314672E-2</v>
      </c>
      <c r="D202" s="41">
        <f t="shared" si="7"/>
        <v>4.5509251157863147E-2</v>
      </c>
      <c r="E202" s="41">
        <f t="shared" si="7"/>
        <v>0.21644157714334228</v>
      </c>
      <c r="F202" s="41">
        <f t="shared" si="7"/>
        <v>4.6189915200293905E-2</v>
      </c>
      <c r="G202" s="41">
        <f t="shared" si="7"/>
        <v>1.764043209769995E-2</v>
      </c>
      <c r="H202" s="41">
        <f t="shared" si="7"/>
        <v>3.2628583270768369E-2</v>
      </c>
      <c r="I202" s="41">
        <f t="shared" si="7"/>
        <v>0.37249528425361811</v>
      </c>
      <c r="J202" s="41">
        <f t="shared" si="7"/>
        <v>2.0752261152739718E-2</v>
      </c>
      <c r="K202" s="41">
        <f t="shared" si="7"/>
        <v>6.7735618390752971E-3</v>
      </c>
      <c r="L202" s="41">
        <f t="shared" si="7"/>
        <v>2.2465243459131021E-2</v>
      </c>
      <c r="M202" s="41">
        <f t="shared" si="7"/>
        <v>5.5526290381124152E-2</v>
      </c>
      <c r="O202" s="39">
        <f>SUM(B202:M202)</f>
        <v>0.99999999999999989</v>
      </c>
    </row>
    <row r="203" spans="1:16">
      <c r="B203" s="52">
        <f>B202</f>
        <v>0.10924946486119722</v>
      </c>
      <c r="C203" s="52">
        <f t="shared" ref="C203:M203" si="8">C202</f>
        <v>5.432813518314672E-2</v>
      </c>
      <c r="D203" s="52">
        <f t="shared" si="8"/>
        <v>4.5509251157863147E-2</v>
      </c>
      <c r="E203" s="52">
        <f t="shared" si="8"/>
        <v>0.21644157714334228</v>
      </c>
      <c r="F203" s="52">
        <f t="shared" si="8"/>
        <v>4.6189915200293905E-2</v>
      </c>
      <c r="G203" s="52">
        <f t="shared" si="8"/>
        <v>1.764043209769995E-2</v>
      </c>
      <c r="H203" s="52">
        <f t="shared" si="8"/>
        <v>3.2628583270768369E-2</v>
      </c>
      <c r="I203" s="52">
        <f t="shared" si="8"/>
        <v>0.37249528425361811</v>
      </c>
      <c r="J203" s="52">
        <f t="shared" si="8"/>
        <v>2.0752261152739718E-2</v>
      </c>
      <c r="K203" s="52">
        <f t="shared" si="8"/>
        <v>6.7735618390752971E-3</v>
      </c>
      <c r="L203" s="52">
        <f t="shared" si="8"/>
        <v>2.2465243459131021E-2</v>
      </c>
      <c r="M203" s="52">
        <f t="shared" si="8"/>
        <v>5.5526290381124152E-2</v>
      </c>
      <c r="O203" s="54">
        <f>SUM(B203:M203)</f>
        <v>0.99999999999999989</v>
      </c>
    </row>
  </sheetData>
  <pageMargins left="0.7" right="0.7" top="0.75" bottom="0.75" header="0.3" footer="0.3"/>
  <ignoredErrors>
    <ignoredError sqref="O2:O19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4879-4B5A-A944-BF3F-C4BCCB040953}">
  <dimension ref="C2:L63"/>
  <sheetViews>
    <sheetView topLeftCell="C1" zoomScale="60" zoomScaleNormal="60" workbookViewId="0">
      <selection activeCell="J52" sqref="J52"/>
    </sheetView>
  </sheetViews>
  <sheetFormatPr baseColWidth="10" defaultColWidth="8.796875" defaultRowHeight="14.4"/>
  <cols>
    <col min="1" max="2" width="8.796875" style="16"/>
    <col min="3" max="3" width="20.19921875" style="16" customWidth="1"/>
    <col min="4" max="4" width="8.796875" style="16"/>
    <col min="5" max="5" width="14.296875" style="16" customWidth="1"/>
    <col min="6" max="7" width="8.796875" style="16"/>
    <col min="8" max="8" width="11" style="16" customWidth="1"/>
    <col min="9" max="9" width="12.19921875" style="16" customWidth="1"/>
    <col min="10" max="16384" width="8.796875" style="16"/>
  </cols>
  <sheetData>
    <row r="2" spans="3:12" ht="72">
      <c r="G2" s="33" t="s">
        <v>19</v>
      </c>
      <c r="H2" s="33" t="s">
        <v>20</v>
      </c>
      <c r="I2" s="33" t="s">
        <v>31</v>
      </c>
      <c r="J2" s="33" t="s">
        <v>32</v>
      </c>
    </row>
    <row r="5" spans="3:12">
      <c r="C5" s="18"/>
      <c r="D5" s="17"/>
      <c r="F5" s="16">
        <v>1965</v>
      </c>
      <c r="G5" s="17">
        <v>1</v>
      </c>
      <c r="H5" s="42">
        <f>(G5/G42)*100</f>
        <v>14.598540145985403</v>
      </c>
      <c r="I5" s="20">
        <f>(G5/G60)*100</f>
        <v>7.0175438596491224</v>
      </c>
      <c r="J5" s="19">
        <f>(G5*I5)/H5</f>
        <v>0.48070175438596485</v>
      </c>
      <c r="L5" s="19"/>
    </row>
    <row r="6" spans="3:12">
      <c r="C6" s="18"/>
      <c r="D6" s="17"/>
      <c r="F6" s="16">
        <v>1966</v>
      </c>
      <c r="G6" s="17">
        <v>1</v>
      </c>
      <c r="H6" s="42">
        <f>(G6/G42)*100</f>
        <v>14.598540145985403</v>
      </c>
      <c r="I6" s="20">
        <f>(G6/G60)*100</f>
        <v>7.0175438596491224</v>
      </c>
      <c r="J6" s="19">
        <f t="shared" ref="J6:J61" si="0">(G6*I6)/H6</f>
        <v>0.48070175438596485</v>
      </c>
      <c r="L6" s="19"/>
    </row>
    <row r="7" spans="3:12">
      <c r="C7" s="18"/>
      <c r="D7" s="17"/>
      <c r="F7" s="16">
        <v>1967</v>
      </c>
      <c r="G7" s="17">
        <v>1</v>
      </c>
      <c r="H7" s="42">
        <f>(G7/G42)*100</f>
        <v>14.598540145985403</v>
      </c>
      <c r="I7" s="20">
        <f>(G7/G60)*100</f>
        <v>7.0175438596491224</v>
      </c>
      <c r="J7" s="19">
        <f>(G7*I7)/H7</f>
        <v>0.48070175438596485</v>
      </c>
    </row>
    <row r="8" spans="3:12">
      <c r="C8" s="18"/>
      <c r="D8" s="17"/>
      <c r="F8" s="16">
        <v>1968</v>
      </c>
      <c r="G8" s="17">
        <v>1</v>
      </c>
      <c r="H8" s="42">
        <f>(G8/G42)*100</f>
        <v>14.598540145985403</v>
      </c>
      <c r="I8" s="20">
        <f>(G8/G60)*100</f>
        <v>7.0175438596491224</v>
      </c>
      <c r="J8" s="19">
        <f t="shared" si="0"/>
        <v>0.48070175438596485</v>
      </c>
    </row>
    <row r="9" spans="3:12">
      <c r="C9" s="18"/>
      <c r="D9" s="17"/>
      <c r="F9" s="16">
        <v>1969</v>
      </c>
      <c r="G9" s="17">
        <v>1.3</v>
      </c>
      <c r="H9" s="42">
        <f>(G9/G42)*100</f>
        <v>18.978102189781023</v>
      </c>
      <c r="I9" s="20">
        <f>(G9/G60)*100</f>
        <v>9.1228070175438596</v>
      </c>
      <c r="J9" s="19">
        <f t="shared" si="0"/>
        <v>0.62491228070175431</v>
      </c>
    </row>
    <row r="10" spans="3:12">
      <c r="C10" s="18"/>
      <c r="D10" s="17"/>
      <c r="F10" s="16">
        <v>1970</v>
      </c>
      <c r="G10" s="17">
        <v>1.5</v>
      </c>
      <c r="H10" s="42">
        <f>(G10/G42)*100</f>
        <v>21.897810218978105</v>
      </c>
      <c r="I10" s="20">
        <f>(G10/G60)*100</f>
        <v>10.526315789473683</v>
      </c>
      <c r="J10" s="19">
        <f t="shared" si="0"/>
        <v>0.72105263157894717</v>
      </c>
    </row>
    <row r="11" spans="3:12">
      <c r="C11" s="18"/>
      <c r="D11" s="17"/>
      <c r="F11" s="16">
        <v>1971</v>
      </c>
      <c r="G11" s="17">
        <v>1.65</v>
      </c>
      <c r="H11" s="42">
        <f>(G11/G42)*100</f>
        <v>24.087591240875913</v>
      </c>
      <c r="I11" s="20">
        <f>(G11/G60)*100</f>
        <v>11.578947368421053</v>
      </c>
      <c r="J11" s="19">
        <f t="shared" si="0"/>
        <v>0.79315789473684206</v>
      </c>
    </row>
    <row r="12" spans="3:12">
      <c r="C12" s="18"/>
      <c r="D12" s="17"/>
      <c r="F12" s="16">
        <v>1972</v>
      </c>
      <c r="G12" s="17">
        <v>1.65</v>
      </c>
      <c r="H12" s="42">
        <f>(G12/G42)*100</f>
        <v>24.087591240875913</v>
      </c>
      <c r="I12" s="20">
        <f>(G12/G60)*100</f>
        <v>11.578947368421053</v>
      </c>
      <c r="J12" s="19">
        <f t="shared" si="0"/>
        <v>0.79315789473684206</v>
      </c>
    </row>
    <row r="13" spans="3:12">
      <c r="C13" s="18"/>
      <c r="D13" s="17"/>
      <c r="F13" s="16">
        <v>1973</v>
      </c>
      <c r="G13" s="17">
        <v>1.8</v>
      </c>
      <c r="H13" s="42">
        <f>(G13/G42)*100</f>
        <v>26.277372262773724</v>
      </c>
      <c r="I13" s="20">
        <f>(G13/G60)*100</f>
        <v>12.631578947368421</v>
      </c>
      <c r="J13" s="19">
        <f t="shared" si="0"/>
        <v>0.86526315789473673</v>
      </c>
    </row>
    <row r="14" spans="3:12">
      <c r="C14" s="18"/>
      <c r="D14" s="17"/>
      <c r="F14" s="16">
        <v>1974</v>
      </c>
      <c r="G14" s="17">
        <v>2.15</v>
      </c>
      <c r="H14" s="42">
        <f>(G14/G42)*100</f>
        <v>31.386861313868614</v>
      </c>
      <c r="I14" s="20">
        <f>(G14/G60)*100</f>
        <v>15.087719298245613</v>
      </c>
      <c r="J14" s="19">
        <f t="shared" si="0"/>
        <v>1.0335087719298244</v>
      </c>
    </row>
    <row r="15" spans="3:12">
      <c r="C15" s="18"/>
      <c r="D15" s="17"/>
      <c r="F15" s="16">
        <v>1975</v>
      </c>
      <c r="G15" s="17">
        <v>2.4</v>
      </c>
      <c r="H15" s="42">
        <f>(G15/G42)*100</f>
        <v>35.036496350364963</v>
      </c>
      <c r="I15" s="20">
        <f>(G15/G60)*100</f>
        <v>16.842105263157894</v>
      </c>
      <c r="J15" s="19">
        <f t="shared" si="0"/>
        <v>1.1536842105263156</v>
      </c>
    </row>
    <row r="16" spans="3:12">
      <c r="C16" s="18"/>
      <c r="D16" s="17"/>
      <c r="F16" s="16">
        <v>1976</v>
      </c>
      <c r="G16" s="17">
        <v>2.65</v>
      </c>
      <c r="H16" s="42">
        <f>(G16/G42)*100</f>
        <v>38.686131386861319</v>
      </c>
      <c r="I16" s="20">
        <f>(G16/G60)*100</f>
        <v>18.596491228070175</v>
      </c>
      <c r="J16" s="19">
        <f t="shared" si="0"/>
        <v>1.2738596491228067</v>
      </c>
    </row>
    <row r="17" spans="3:10">
      <c r="C17" s="18"/>
      <c r="D17" s="17"/>
      <c r="F17" s="16">
        <v>1977</v>
      </c>
      <c r="G17" s="17">
        <v>2.65</v>
      </c>
      <c r="H17" s="42">
        <f>(G17/G42)*100</f>
        <v>38.686131386861319</v>
      </c>
      <c r="I17" s="20">
        <f>(G17/G60)*100</f>
        <v>18.596491228070175</v>
      </c>
      <c r="J17" s="19">
        <f t="shared" si="0"/>
        <v>1.2738596491228067</v>
      </c>
    </row>
    <row r="18" spans="3:10">
      <c r="C18" s="18"/>
      <c r="D18" s="17"/>
      <c r="F18" s="16">
        <v>1978</v>
      </c>
      <c r="G18" s="17">
        <v>2.85</v>
      </c>
      <c r="H18" s="42">
        <f>(G18/G42)*100</f>
        <v>41.605839416058402</v>
      </c>
      <c r="I18" s="20">
        <f>(G18/G60)*100</f>
        <v>20</v>
      </c>
      <c r="J18" s="19">
        <f t="shared" si="0"/>
        <v>1.3699999999999997</v>
      </c>
    </row>
    <row r="19" spans="3:10">
      <c r="C19" s="18"/>
      <c r="D19" s="17"/>
      <c r="F19" s="16">
        <v>1979</v>
      </c>
      <c r="G19" s="17">
        <v>3</v>
      </c>
      <c r="H19" s="42">
        <f>(G19/G42)*100</f>
        <v>43.79562043795621</v>
      </c>
      <c r="I19" s="20">
        <f>(G19/G60)*100</f>
        <v>21.052631578947366</v>
      </c>
      <c r="J19" s="19">
        <f t="shared" si="0"/>
        <v>1.4421052631578943</v>
      </c>
    </row>
    <row r="20" spans="3:10">
      <c r="C20" s="18"/>
      <c r="D20" s="17"/>
      <c r="F20" s="16">
        <v>1980</v>
      </c>
      <c r="G20" s="17">
        <v>3</v>
      </c>
      <c r="H20" s="42">
        <f>(G20/G42)*100</f>
        <v>43.79562043795621</v>
      </c>
      <c r="I20" s="20">
        <f>(G20/G60)*100</f>
        <v>21.052631578947366</v>
      </c>
      <c r="J20" s="19">
        <f t="shared" si="0"/>
        <v>1.4421052631578943</v>
      </c>
    </row>
    <row r="21" spans="3:10">
      <c r="C21" s="18"/>
      <c r="D21" s="17"/>
      <c r="F21" s="16">
        <v>1981</v>
      </c>
      <c r="G21" s="17">
        <v>3.15</v>
      </c>
      <c r="H21" s="67">
        <f>(G21/G42)*100</f>
        <v>45.985401459854018</v>
      </c>
      <c r="I21" s="20">
        <f>(G21/G60)*100</f>
        <v>22.105263157894736</v>
      </c>
      <c r="J21" s="19">
        <f t="shared" si="0"/>
        <v>1.5142105263157892</v>
      </c>
    </row>
    <row r="22" spans="3:10">
      <c r="C22" s="18"/>
      <c r="D22" s="17"/>
      <c r="F22" s="16">
        <v>1982</v>
      </c>
      <c r="G22" s="17">
        <v>3.15</v>
      </c>
      <c r="H22" s="67">
        <f>(G22/G42)*100</f>
        <v>45.985401459854018</v>
      </c>
      <c r="I22" s="20">
        <f>(G22/G60)*100</f>
        <v>22.105263157894736</v>
      </c>
      <c r="J22" s="19">
        <f t="shared" si="0"/>
        <v>1.5142105263157892</v>
      </c>
    </row>
    <row r="23" spans="3:10">
      <c r="C23" s="18"/>
      <c r="D23" s="17"/>
      <c r="F23" s="16">
        <v>1983</v>
      </c>
      <c r="G23" s="17">
        <v>3.15</v>
      </c>
      <c r="H23" s="67">
        <f>(G23/G42)*100</f>
        <v>45.985401459854018</v>
      </c>
      <c r="I23" s="20">
        <f>(G23/G60)*100</f>
        <v>22.105263157894736</v>
      </c>
      <c r="J23" s="19">
        <f t="shared" si="0"/>
        <v>1.5142105263157892</v>
      </c>
    </row>
    <row r="24" spans="3:10">
      <c r="C24" s="18"/>
      <c r="D24" s="17"/>
      <c r="F24" s="16">
        <v>1984</v>
      </c>
      <c r="G24" s="17">
        <v>3.85</v>
      </c>
      <c r="H24" s="67">
        <f>(G24/G42)*100</f>
        <v>56.204379562043805</v>
      </c>
      <c r="I24" s="20">
        <f>(G24/G60)*100</f>
        <v>27.017543859649123</v>
      </c>
      <c r="J24" s="19">
        <f t="shared" si="0"/>
        <v>1.8507017543859645</v>
      </c>
    </row>
    <row r="25" spans="3:10">
      <c r="C25" s="18"/>
      <c r="D25" s="17"/>
      <c r="F25" s="16">
        <v>1985</v>
      </c>
      <c r="G25" s="17">
        <v>4</v>
      </c>
      <c r="H25" s="67">
        <f>(G25/G42)*100</f>
        <v>58.394160583941613</v>
      </c>
      <c r="I25" s="20">
        <f>(G25/G60)*100</f>
        <v>28.07017543859649</v>
      </c>
      <c r="J25" s="19">
        <f t="shared" si="0"/>
        <v>1.9228070175438594</v>
      </c>
    </row>
    <row r="26" spans="3:10">
      <c r="C26" s="18"/>
      <c r="D26" s="17"/>
      <c r="F26" s="16">
        <v>1986</v>
      </c>
      <c r="G26" s="17">
        <v>4.3499999999999996</v>
      </c>
      <c r="H26" s="67">
        <f>(G26/G42)*100</f>
        <v>63.503649635036496</v>
      </c>
      <c r="I26" s="20">
        <f>(G26/G60)*100</f>
        <v>30.526315789473678</v>
      </c>
      <c r="J26" s="19">
        <f t="shared" si="0"/>
        <v>2.0910526315789468</v>
      </c>
    </row>
    <row r="27" spans="3:10">
      <c r="C27" s="18"/>
      <c r="D27" s="17"/>
      <c r="F27" s="16">
        <v>1987</v>
      </c>
      <c r="G27" s="17">
        <v>4.55</v>
      </c>
      <c r="H27" s="67">
        <f>(G27/G42)*100</f>
        <v>66.423357664233578</v>
      </c>
      <c r="I27" s="20">
        <f>(G27/G60)*100</f>
        <v>31.929824561403507</v>
      </c>
      <c r="J27" s="19">
        <f t="shared" si="0"/>
        <v>2.18719298245614</v>
      </c>
    </row>
    <row r="28" spans="3:10">
      <c r="C28" s="18"/>
      <c r="D28" s="17"/>
      <c r="F28" s="16">
        <v>1988</v>
      </c>
      <c r="G28" s="17">
        <v>4.75</v>
      </c>
      <c r="H28" s="67">
        <f>(G28/G42)*100</f>
        <v>69.34306569343066</v>
      </c>
      <c r="I28" s="20">
        <f>(G28/G60)*100</f>
        <v>33.333333333333329</v>
      </c>
      <c r="J28" s="19">
        <f t="shared" si="0"/>
        <v>2.2833333333333328</v>
      </c>
    </row>
    <row r="29" spans="3:10">
      <c r="C29" s="18"/>
      <c r="D29" s="17"/>
      <c r="F29" s="16">
        <v>1989</v>
      </c>
      <c r="G29" s="17">
        <v>5</v>
      </c>
      <c r="H29" s="67">
        <f>(G29/G42)*100</f>
        <v>72.992700729927009</v>
      </c>
      <c r="I29" s="20">
        <f>(G29/G60)*100</f>
        <v>35.087719298245609</v>
      </c>
      <c r="J29" s="19">
        <f t="shared" si="0"/>
        <v>2.4035087719298245</v>
      </c>
    </row>
    <row r="30" spans="3:10">
      <c r="C30" s="18"/>
      <c r="D30" s="17"/>
      <c r="F30" s="16">
        <v>1990</v>
      </c>
      <c r="G30" s="17">
        <v>5.4</v>
      </c>
      <c r="H30" s="67">
        <f>(G30/G42)*100</f>
        <v>78.832116788321187</v>
      </c>
      <c r="I30" s="20">
        <f>(G30/G60)*100</f>
        <v>37.894736842105267</v>
      </c>
      <c r="J30" s="19">
        <f t="shared" si="0"/>
        <v>2.5957894736842104</v>
      </c>
    </row>
    <row r="31" spans="3:10">
      <c r="C31" s="18"/>
      <c r="D31" s="17"/>
      <c r="F31" s="16">
        <v>1991</v>
      </c>
      <c r="G31" s="17">
        <v>6</v>
      </c>
      <c r="H31" s="67">
        <f>(G31/G42)*100</f>
        <v>87.591240875912419</v>
      </c>
      <c r="I31" s="20">
        <f>(G31/G60)*100</f>
        <v>42.105263157894733</v>
      </c>
      <c r="J31" s="19">
        <f t="shared" si="0"/>
        <v>2.8842105263157887</v>
      </c>
    </row>
    <row r="32" spans="3:10">
      <c r="C32" s="18"/>
      <c r="D32" s="17"/>
      <c r="F32" s="16">
        <v>1992</v>
      </c>
      <c r="G32" s="17">
        <v>6.35</v>
      </c>
      <c r="H32" s="67">
        <f>(G32/G42)*100</f>
        <v>92.700729927007302</v>
      </c>
      <c r="I32" s="20">
        <f>(G32/G60)*100</f>
        <v>44.561403508771932</v>
      </c>
      <c r="J32" s="19">
        <f t="shared" si="0"/>
        <v>3.052456140350877</v>
      </c>
    </row>
    <row r="33" spans="3:10">
      <c r="C33" s="18"/>
      <c r="D33" s="17"/>
      <c r="F33" s="16">
        <v>1993</v>
      </c>
      <c r="G33" s="17">
        <v>6.35</v>
      </c>
      <c r="H33" s="67">
        <f>(G33/G42)*100</f>
        <v>92.700729927007302</v>
      </c>
      <c r="I33" s="20">
        <f>(G33/G60)*100</f>
        <v>44.561403508771932</v>
      </c>
      <c r="J33" s="19">
        <f t="shared" si="0"/>
        <v>3.052456140350877</v>
      </c>
    </row>
    <row r="34" spans="3:10">
      <c r="C34" s="18"/>
      <c r="D34" s="17"/>
      <c r="F34" s="16">
        <v>1994</v>
      </c>
      <c r="G34" s="17">
        <v>6.7</v>
      </c>
      <c r="H34" s="67">
        <f>(G34/G42)*100</f>
        <v>97.810218978102199</v>
      </c>
      <c r="I34" s="20">
        <f>(G34/G60)*100</f>
        <v>47.017543859649123</v>
      </c>
      <c r="J34" s="19">
        <f t="shared" si="0"/>
        <v>3.2207017543859648</v>
      </c>
    </row>
    <row r="35" spans="3:10">
      <c r="C35" s="18"/>
      <c r="D35" s="17"/>
      <c r="F35" s="16">
        <v>1995</v>
      </c>
      <c r="G35" s="17">
        <v>6.85</v>
      </c>
      <c r="H35" s="67">
        <f>(G35/G42)*100</f>
        <v>100</v>
      </c>
      <c r="I35" s="20">
        <f>(G35/G60)*100</f>
        <v>48.070175438596493</v>
      </c>
      <c r="J35" s="19">
        <f t="shared" si="0"/>
        <v>3.2928070175438595</v>
      </c>
    </row>
    <row r="36" spans="3:10">
      <c r="C36" s="18"/>
      <c r="D36" s="17"/>
      <c r="F36" s="16">
        <v>1996</v>
      </c>
      <c r="G36" s="17">
        <v>6.85</v>
      </c>
      <c r="H36" s="67">
        <f>(G36/G42)*100</f>
        <v>100</v>
      </c>
      <c r="I36" s="20">
        <f>(G36/G60)*100</f>
        <v>48.070175438596493</v>
      </c>
      <c r="J36" s="19">
        <f t="shared" si="0"/>
        <v>3.2928070175438595</v>
      </c>
    </row>
    <row r="37" spans="3:10">
      <c r="C37" s="18"/>
      <c r="D37" s="17"/>
      <c r="F37" s="16">
        <v>1997</v>
      </c>
      <c r="G37" s="17">
        <v>6.85</v>
      </c>
      <c r="H37" s="67">
        <f>(G37/G42)*100</f>
        <v>100</v>
      </c>
      <c r="I37" s="20">
        <f>(G37/G60)*100</f>
        <v>48.070175438596493</v>
      </c>
      <c r="J37" s="19">
        <f t="shared" si="0"/>
        <v>3.2928070175438595</v>
      </c>
    </row>
    <row r="38" spans="3:10">
      <c r="C38" s="18"/>
      <c r="D38" s="17"/>
      <c r="F38" s="16">
        <v>1998</v>
      </c>
      <c r="G38" s="17">
        <v>6.85</v>
      </c>
      <c r="H38" s="67">
        <f>(G38/G42)*100</f>
        <v>100</v>
      </c>
      <c r="I38" s="20">
        <f>(G38/G60)*100</f>
        <v>48.070175438596493</v>
      </c>
      <c r="J38" s="19">
        <f t="shared" si="0"/>
        <v>3.2928070175438595</v>
      </c>
    </row>
    <row r="39" spans="3:10">
      <c r="C39" s="18"/>
      <c r="D39" s="17"/>
      <c r="F39" s="16">
        <v>1999</v>
      </c>
      <c r="G39" s="17">
        <v>6.85</v>
      </c>
      <c r="H39" s="67">
        <f>(G39/G42)*100</f>
        <v>100</v>
      </c>
      <c r="I39" s="20">
        <f>(G39/G60)*100</f>
        <v>48.070175438596493</v>
      </c>
      <c r="J39" s="19">
        <f t="shared" si="0"/>
        <v>3.2928070175438595</v>
      </c>
    </row>
    <row r="40" spans="3:10">
      <c r="C40" s="18"/>
      <c r="D40" s="17"/>
      <c r="F40" s="16">
        <v>2000</v>
      </c>
      <c r="G40" s="17">
        <v>6.85</v>
      </c>
      <c r="H40" s="67">
        <f>(G40/G42)*100</f>
        <v>100</v>
      </c>
      <c r="I40" s="20">
        <f>(G40/G60)*100</f>
        <v>48.070175438596493</v>
      </c>
      <c r="J40" s="19">
        <f t="shared" si="0"/>
        <v>3.2928070175438595</v>
      </c>
    </row>
    <row r="41" spans="3:10">
      <c r="C41" s="18"/>
      <c r="D41" s="17"/>
      <c r="F41" s="16">
        <v>2001</v>
      </c>
      <c r="G41" s="17">
        <v>6.85</v>
      </c>
      <c r="H41" s="67">
        <f>(G41/G42)*100</f>
        <v>100</v>
      </c>
      <c r="I41" s="20">
        <f>(G41/G60)*100</f>
        <v>48.070175438596493</v>
      </c>
      <c r="J41" s="19">
        <f t="shared" si="0"/>
        <v>3.2928070175438595</v>
      </c>
    </row>
    <row r="42" spans="3:10">
      <c r="C42" s="18"/>
      <c r="D42" s="17"/>
      <c r="F42" s="16">
        <v>2002</v>
      </c>
      <c r="G42" s="17">
        <v>6.85</v>
      </c>
      <c r="H42" s="67">
        <f>(G42/G42)*100</f>
        <v>100</v>
      </c>
      <c r="I42" s="20">
        <f>(G42/G60)*100</f>
        <v>48.070175438596493</v>
      </c>
      <c r="J42" s="19">
        <f t="shared" si="0"/>
        <v>3.2928070175438595</v>
      </c>
    </row>
    <row r="43" spans="3:10">
      <c r="C43" s="18"/>
      <c r="D43" s="17"/>
      <c r="F43" s="16">
        <v>2003</v>
      </c>
      <c r="G43" s="17">
        <v>6.85</v>
      </c>
      <c r="H43" s="67">
        <f>(G43/G42)*100</f>
        <v>100</v>
      </c>
      <c r="I43" s="20">
        <f>(G43/G60)*100</f>
        <v>48.070175438596493</v>
      </c>
      <c r="J43" s="19">
        <f t="shared" si="0"/>
        <v>3.2928070175438595</v>
      </c>
    </row>
    <row r="44" spans="3:10">
      <c r="C44" s="18"/>
      <c r="D44" s="17"/>
      <c r="F44" s="16">
        <v>2004</v>
      </c>
      <c r="G44" s="17">
        <v>7.15</v>
      </c>
      <c r="H44" s="67">
        <f>(G44/G42)*100</f>
        <v>104.37956204379563</v>
      </c>
      <c r="I44" s="20">
        <f>(G44/G60)*100</f>
        <v>50.175438596491226</v>
      </c>
      <c r="J44" s="19">
        <f t="shared" si="0"/>
        <v>3.4370175438596489</v>
      </c>
    </row>
    <row r="45" spans="3:10">
      <c r="C45" s="18"/>
      <c r="D45" s="17"/>
      <c r="F45" s="16">
        <v>2005</v>
      </c>
      <c r="G45" s="17">
        <v>7.45</v>
      </c>
      <c r="H45" s="67">
        <f>(G45/G42)*100</f>
        <v>108.75912408759125</v>
      </c>
      <c r="I45" s="20">
        <f>(G45/G60)*100</f>
        <v>52.280701754385959</v>
      </c>
      <c r="J45" s="19">
        <f t="shared" si="0"/>
        <v>3.5812280701754382</v>
      </c>
    </row>
    <row r="46" spans="3:10">
      <c r="F46" s="16">
        <v>2006</v>
      </c>
      <c r="G46" s="17">
        <v>7.75</v>
      </c>
      <c r="H46" s="67">
        <f>(G46/G42)*100</f>
        <v>113.13868613138686</v>
      </c>
      <c r="I46" s="20">
        <f>(G46/G60)*100</f>
        <v>54.385964912280706</v>
      </c>
      <c r="J46" s="19">
        <f t="shared" si="0"/>
        <v>3.725438596491228</v>
      </c>
    </row>
    <row r="47" spans="3:10">
      <c r="F47" s="16">
        <v>2007</v>
      </c>
      <c r="G47" s="17">
        <v>8</v>
      </c>
      <c r="H47" s="67">
        <f>(G47/G42)*100</f>
        <v>116.78832116788323</v>
      </c>
      <c r="I47" s="20">
        <f>(G47/G60)*100</f>
        <v>56.140350877192979</v>
      </c>
      <c r="J47" s="19">
        <f t="shared" si="0"/>
        <v>3.8456140350877188</v>
      </c>
    </row>
    <row r="48" spans="3:10">
      <c r="F48" s="16">
        <v>2008</v>
      </c>
      <c r="G48" s="17">
        <v>8.75</v>
      </c>
      <c r="H48" s="67">
        <f>(G48/G42)*100</f>
        <v>127.73722627737227</v>
      </c>
      <c r="I48" s="20">
        <f>(G48/G60)*100</f>
        <v>61.403508771929829</v>
      </c>
      <c r="J48" s="19">
        <f t="shared" si="0"/>
        <v>4.2061403508771926</v>
      </c>
    </row>
    <row r="49" spans="5:10">
      <c r="F49" s="16">
        <v>2009</v>
      </c>
      <c r="G49" s="17">
        <v>9.5</v>
      </c>
      <c r="H49" s="67">
        <f>(G49/G42)*100</f>
        <v>138.68613138686132</v>
      </c>
      <c r="I49" s="20">
        <f>(G49/G60)*100</f>
        <v>66.666666666666657</v>
      </c>
      <c r="J49" s="19">
        <f t="shared" si="0"/>
        <v>4.5666666666666655</v>
      </c>
    </row>
    <row r="50" spans="5:10">
      <c r="F50" s="16">
        <v>2010</v>
      </c>
      <c r="G50" s="17">
        <v>10.25</v>
      </c>
      <c r="H50" s="67">
        <f>(G50/G42)*100</f>
        <v>149.63503649635038</v>
      </c>
      <c r="I50" s="20">
        <f>(G50/G60)*100</f>
        <v>71.929824561403507</v>
      </c>
      <c r="J50" s="19">
        <f t="shared" si="0"/>
        <v>4.9271929824561402</v>
      </c>
    </row>
    <row r="51" spans="5:10">
      <c r="F51" s="16">
        <v>2011</v>
      </c>
      <c r="G51" s="17">
        <v>10.25</v>
      </c>
      <c r="H51" s="67">
        <f>(G51/G42)*100</f>
        <v>149.63503649635038</v>
      </c>
      <c r="I51" s="20">
        <f>(G51/G60)*100</f>
        <v>71.929824561403507</v>
      </c>
      <c r="J51" s="19">
        <f t="shared" si="0"/>
        <v>4.9271929824561402</v>
      </c>
    </row>
    <row r="52" spans="5:10">
      <c r="F52" s="16">
        <v>2012</v>
      </c>
      <c r="G52" s="17">
        <v>10.25</v>
      </c>
      <c r="H52" s="67">
        <f>(G52/G42)*100</f>
        <v>149.63503649635038</v>
      </c>
      <c r="I52" s="20">
        <f>(G52/G60)*100</f>
        <v>71.929824561403507</v>
      </c>
      <c r="J52" s="19">
        <f t="shared" si="0"/>
        <v>4.9271929824561402</v>
      </c>
    </row>
    <row r="53" spans="5:10">
      <c r="F53" s="16">
        <v>2013</v>
      </c>
      <c r="G53" s="17">
        <v>10.25</v>
      </c>
      <c r="H53" s="67">
        <f>(G53/G42)*100</f>
        <v>149.63503649635038</v>
      </c>
      <c r="I53" s="20">
        <f>(G53/G60)*100</f>
        <v>71.929824561403507</v>
      </c>
      <c r="J53" s="19">
        <f>(G53*I53)/H53</f>
        <v>4.9271929824561402</v>
      </c>
    </row>
    <row r="54" spans="5:10">
      <c r="F54" s="16">
        <v>2014</v>
      </c>
      <c r="G54" s="17">
        <v>11</v>
      </c>
      <c r="H54" s="67">
        <f>(G54/G42)*100</f>
        <v>160.58394160583941</v>
      </c>
      <c r="I54" s="20">
        <f>(G54/G60)*100</f>
        <v>77.192982456140342</v>
      </c>
      <c r="J54" s="19">
        <f t="shared" si="0"/>
        <v>5.287719298245614</v>
      </c>
    </row>
    <row r="55" spans="5:10">
      <c r="F55" s="16">
        <v>2015</v>
      </c>
      <c r="G55" s="17">
        <v>11.25</v>
      </c>
      <c r="H55" s="67">
        <f>(G55/G42)*100</f>
        <v>164.23357664233578</v>
      </c>
      <c r="I55" s="20">
        <f>(G55/G60)*100</f>
        <v>78.94736842105263</v>
      </c>
      <c r="J55" s="19">
        <f t="shared" si="0"/>
        <v>5.4078947368421044</v>
      </c>
    </row>
    <row r="56" spans="5:10">
      <c r="F56" s="16">
        <v>2016</v>
      </c>
      <c r="G56" s="17">
        <v>11.4</v>
      </c>
      <c r="H56" s="67">
        <f>(G56/G42)*100</f>
        <v>166.42335766423361</v>
      </c>
      <c r="I56" s="20">
        <f>(G56/G60)*100</f>
        <v>80</v>
      </c>
      <c r="J56" s="19">
        <f t="shared" si="0"/>
        <v>5.4799999999999986</v>
      </c>
    </row>
    <row r="57" spans="5:10">
      <c r="F57" s="16">
        <v>2017</v>
      </c>
      <c r="G57" s="17">
        <v>11.6</v>
      </c>
      <c r="H57" s="67">
        <f>(G57/G42)*100</f>
        <v>169.34306569343065</v>
      </c>
      <c r="I57" s="20">
        <f>(G57/G60)*100</f>
        <v>81.403508771929822</v>
      </c>
      <c r="J57" s="19">
        <f t="shared" si="0"/>
        <v>5.5761403508771927</v>
      </c>
    </row>
    <row r="58" spans="5:10">
      <c r="F58" s="16">
        <v>2018</v>
      </c>
      <c r="G58" s="17">
        <v>14</v>
      </c>
      <c r="H58" s="67">
        <f>(G58/G42)*100</f>
        <v>204.37956204379563</v>
      </c>
      <c r="I58" s="20">
        <f>(G58/G60)*100</f>
        <v>98.245614035087712</v>
      </c>
      <c r="J58" s="19">
        <f t="shared" si="0"/>
        <v>6.7298245614035084</v>
      </c>
    </row>
    <row r="59" spans="5:10">
      <c r="F59" s="16">
        <v>2019</v>
      </c>
      <c r="G59" s="17">
        <v>14</v>
      </c>
      <c r="H59" s="67">
        <f>(G59/G42)*100</f>
        <v>204.37956204379563</v>
      </c>
      <c r="I59" s="20">
        <f>(G59/G60)*100</f>
        <v>98.245614035087712</v>
      </c>
      <c r="J59" s="19">
        <f t="shared" si="0"/>
        <v>6.7298245614035084</v>
      </c>
    </row>
    <row r="60" spans="5:10">
      <c r="F60" s="16">
        <v>2020</v>
      </c>
      <c r="G60" s="17">
        <v>14.25</v>
      </c>
      <c r="H60" s="67">
        <f>(G60/G42)*100</f>
        <v>208.02919708029196</v>
      </c>
      <c r="I60" s="20">
        <f>(G60/G60)*100</f>
        <v>100</v>
      </c>
      <c r="J60" s="19">
        <f t="shared" si="0"/>
        <v>6.8500000000000005</v>
      </c>
    </row>
    <row r="61" spans="5:10">
      <c r="F61" s="16">
        <v>2021</v>
      </c>
      <c r="G61" s="17">
        <v>14.35</v>
      </c>
      <c r="H61" s="67">
        <f>(G61/G42)*100</f>
        <v>209.48905109489053</v>
      </c>
      <c r="I61" s="20">
        <f>(G61/G60)*100</f>
        <v>100.70175438596492</v>
      </c>
      <c r="J61" s="19">
        <f t="shared" si="0"/>
        <v>6.8980701754385967</v>
      </c>
    </row>
    <row r="62" spans="5:10">
      <c r="E62" s="16" t="s">
        <v>18</v>
      </c>
      <c r="G62" s="61">
        <f>((G61/G5)^(1/(56-1))-1)</f>
        <v>4.9623803018221224E-2</v>
      </c>
      <c r="H62" s="61">
        <f>((H61/H5)^(1/(56-1))-1)</f>
        <v>4.9623803018221224E-2</v>
      </c>
      <c r="I62" s="61">
        <f>((I61/I5)^(1/(56-1))-1)</f>
        <v>4.9623803018221224E-2</v>
      </c>
      <c r="J62" s="21"/>
    </row>
    <row r="63" spans="5:10">
      <c r="J63" s="1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D780-DA1F-2C49-A36F-4AFD462C8540}">
  <dimension ref="C5:M258"/>
  <sheetViews>
    <sheetView tabSelected="1" topLeftCell="A13" zoomScale="60" zoomScaleNormal="60" workbookViewId="0">
      <selection activeCell="F43" sqref="F43"/>
    </sheetView>
  </sheetViews>
  <sheetFormatPr baseColWidth="10" defaultRowHeight="15.6"/>
  <cols>
    <col min="6" max="10" width="13" customWidth="1"/>
  </cols>
  <sheetData>
    <row r="5" spans="3:13" ht="124.8">
      <c r="C5" s="35" t="s">
        <v>2</v>
      </c>
      <c r="D5" s="35" t="s">
        <v>22</v>
      </c>
      <c r="E5" s="34" t="s">
        <v>33</v>
      </c>
      <c r="F5" s="34" t="s">
        <v>27</v>
      </c>
      <c r="G5" s="34" t="s">
        <v>56</v>
      </c>
      <c r="H5" s="34" t="s">
        <v>28</v>
      </c>
      <c r="I5" s="34" t="s">
        <v>30</v>
      </c>
      <c r="J5" s="34" t="s">
        <v>57</v>
      </c>
      <c r="K5" s="34" t="s">
        <v>21</v>
      </c>
      <c r="M5" s="34" t="s">
        <v>57</v>
      </c>
    </row>
    <row r="7" spans="3:13">
      <c r="C7">
        <v>1961</v>
      </c>
      <c r="D7" s="1" t="s">
        <v>23</v>
      </c>
      <c r="E7" s="66">
        <v>26780</v>
      </c>
      <c r="F7" s="37">
        <f>(E7/$E171)*100</f>
        <v>3.4747271340118435</v>
      </c>
      <c r="G7" s="37"/>
      <c r="H7" s="36"/>
      <c r="I7" s="66">
        <v>24872</v>
      </c>
      <c r="J7" s="38"/>
      <c r="K7" s="63">
        <v>1.3</v>
      </c>
      <c r="M7" s="55"/>
    </row>
    <row r="8" spans="3:13">
      <c r="C8">
        <v>1961</v>
      </c>
      <c r="D8" s="1" t="s">
        <v>24</v>
      </c>
      <c r="E8" s="66">
        <v>27204</v>
      </c>
      <c r="F8" s="37">
        <f>(E8/$E172)*100</f>
        <v>3.5128406437883517</v>
      </c>
      <c r="G8" s="37"/>
      <c r="H8" s="36"/>
      <c r="I8" s="66">
        <v>25136</v>
      </c>
      <c r="J8" s="38"/>
      <c r="K8" s="63">
        <v>0.4</v>
      </c>
      <c r="M8" s="55"/>
    </row>
    <row r="9" spans="3:13">
      <c r="C9">
        <v>1961</v>
      </c>
      <c r="D9" s="1" t="s">
        <v>25</v>
      </c>
      <c r="E9" s="66">
        <v>28060</v>
      </c>
      <c r="F9" s="37">
        <f>(E9/$E173)*100</f>
        <v>3.583268206220533</v>
      </c>
      <c r="G9" s="37"/>
      <c r="H9" s="36"/>
      <c r="I9" s="66">
        <v>25964</v>
      </c>
      <c r="J9" s="38"/>
      <c r="K9" s="63">
        <v>1.1000000000000001</v>
      </c>
      <c r="M9" s="55"/>
    </row>
    <row r="10" spans="3:13">
      <c r="C10">
        <v>1961</v>
      </c>
      <c r="D10" s="1" t="s">
        <v>26</v>
      </c>
      <c r="E10" s="66">
        <v>28468</v>
      </c>
      <c r="F10" s="37">
        <f>(E10/$E174)*100</f>
        <v>3.5849930990016219</v>
      </c>
      <c r="G10" s="37"/>
      <c r="H10" s="36"/>
      <c r="I10" s="66">
        <v>26416</v>
      </c>
      <c r="J10" s="38"/>
      <c r="K10" s="63">
        <v>2.1</v>
      </c>
      <c r="M10" s="55"/>
    </row>
    <row r="11" spans="3:13">
      <c r="C11">
        <f>C7+1</f>
        <v>1962</v>
      </c>
      <c r="D11" s="1" t="s">
        <v>23</v>
      </c>
      <c r="E11" s="66">
        <v>29408</v>
      </c>
      <c r="F11" s="37">
        <f>(E11/$E171)*100</f>
        <v>3.8157123060873896</v>
      </c>
      <c r="G11" s="37"/>
      <c r="H11" s="36"/>
      <c r="I11" s="66">
        <v>27556</v>
      </c>
      <c r="J11" s="38"/>
      <c r="K11" s="63">
        <v>3.7</v>
      </c>
      <c r="M11" s="55"/>
    </row>
    <row r="12" spans="3:13">
      <c r="C12">
        <f t="shared" ref="C12:C75" si="0">C8+1</f>
        <v>1962</v>
      </c>
      <c r="D12" s="1" t="s">
        <v>24</v>
      </c>
      <c r="E12" s="66">
        <v>29852</v>
      </c>
      <c r="F12" s="37">
        <f>(E12/$E172)*100</f>
        <v>3.8547757277742192</v>
      </c>
      <c r="G12" s="37"/>
      <c r="H12" s="36"/>
      <c r="I12" s="66">
        <v>27656</v>
      </c>
      <c r="J12" s="38"/>
      <c r="K12" s="63">
        <v>3</v>
      </c>
      <c r="M12" s="55"/>
    </row>
    <row r="13" spans="3:13">
      <c r="C13">
        <f t="shared" si="0"/>
        <v>1962</v>
      </c>
      <c r="D13" s="1" t="s">
        <v>25</v>
      </c>
      <c r="E13" s="66">
        <v>30440</v>
      </c>
      <c r="F13" s="37">
        <f>(E13/$E173)*100</f>
        <v>3.887194732621277</v>
      </c>
      <c r="G13" s="37"/>
      <c r="H13" s="36"/>
      <c r="I13" s="66">
        <v>28120</v>
      </c>
      <c r="J13" s="38"/>
      <c r="K13" s="63">
        <v>4.5999999999999996</v>
      </c>
      <c r="M13" s="55"/>
    </row>
    <row r="14" spans="3:13">
      <c r="C14">
        <f t="shared" si="0"/>
        <v>1962</v>
      </c>
      <c r="D14" s="1" t="s">
        <v>26</v>
      </c>
      <c r="E14" s="66">
        <v>30848</v>
      </c>
      <c r="F14" s="37">
        <f>(E14/$E174)*100</f>
        <v>3.8847079920613337</v>
      </c>
      <c r="G14" s="37"/>
      <c r="H14" s="36"/>
      <c r="I14" s="66">
        <v>28508</v>
      </c>
      <c r="J14" s="38"/>
      <c r="K14" s="63">
        <v>3.6</v>
      </c>
      <c r="M14" s="55"/>
    </row>
    <row r="15" spans="3:13">
      <c r="C15">
        <f>C11+1</f>
        <v>1963</v>
      </c>
      <c r="D15" s="1" t="s">
        <v>23</v>
      </c>
      <c r="E15" s="66">
        <v>31376</v>
      </c>
      <c r="F15" s="37">
        <f>(E15/$E171)*100</f>
        <v>4.0710619326645112</v>
      </c>
      <c r="G15" s="37"/>
      <c r="H15" s="36"/>
      <c r="I15" s="66">
        <v>29124</v>
      </c>
      <c r="J15" s="38"/>
      <c r="K15" s="63">
        <v>4.7</v>
      </c>
      <c r="M15" s="55"/>
    </row>
    <row r="16" spans="3:13">
      <c r="C16">
        <f t="shared" si="0"/>
        <v>1963</v>
      </c>
      <c r="D16" s="1" t="s">
        <v>24</v>
      </c>
      <c r="E16" s="66">
        <v>31960</v>
      </c>
      <c r="F16" s="37">
        <f>(E16/$E172)*100</f>
        <v>4.1269808475031509</v>
      </c>
      <c r="G16" s="37"/>
      <c r="H16" s="36"/>
      <c r="I16" s="66">
        <v>29528</v>
      </c>
      <c r="J16" s="38"/>
      <c r="K16" s="63">
        <v>3.7</v>
      </c>
      <c r="M16" s="55"/>
    </row>
    <row r="17" spans="3:13">
      <c r="C17">
        <f t="shared" si="0"/>
        <v>1963</v>
      </c>
      <c r="D17" s="1" t="s">
        <v>25</v>
      </c>
      <c r="E17" s="66">
        <v>32440</v>
      </c>
      <c r="F17" s="37">
        <f>(E17/$E173)*100</f>
        <v>4.1425951749748435</v>
      </c>
      <c r="G17" s="37"/>
      <c r="H17" s="36"/>
      <c r="I17" s="66">
        <v>29784</v>
      </c>
      <c r="J17" s="38"/>
      <c r="K17" s="63">
        <v>3.4</v>
      </c>
      <c r="M17" s="55"/>
    </row>
    <row r="18" spans="3:13">
      <c r="C18">
        <f t="shared" si="0"/>
        <v>1963</v>
      </c>
      <c r="D18" s="1" t="s">
        <v>26</v>
      </c>
      <c r="E18" s="66">
        <v>33368</v>
      </c>
      <c r="F18" s="37">
        <f>(E18/$E174)*100</f>
        <v>4.2020531729480863</v>
      </c>
      <c r="G18" s="37"/>
      <c r="H18" s="36"/>
      <c r="I18" s="66">
        <v>30704</v>
      </c>
      <c r="J18" s="38"/>
      <c r="K18" s="63">
        <v>4.0999999999999996</v>
      </c>
      <c r="M18" s="55"/>
    </row>
    <row r="19" spans="3:13">
      <c r="C19">
        <f>C15+1</f>
        <v>1964</v>
      </c>
      <c r="D19" s="1" t="s">
        <v>23</v>
      </c>
      <c r="E19" s="66">
        <v>33828</v>
      </c>
      <c r="F19" s="37">
        <f>(E19/$E171)*100</f>
        <v>4.3892109592738109</v>
      </c>
      <c r="G19" s="37"/>
      <c r="H19" s="36"/>
      <c r="I19" s="66">
        <v>31216</v>
      </c>
      <c r="J19" s="38"/>
      <c r="K19" s="63">
        <v>3.9</v>
      </c>
      <c r="M19" s="55"/>
    </row>
    <row r="20" spans="3:13">
      <c r="C20">
        <f t="shared" si="0"/>
        <v>1964</v>
      </c>
      <c r="D20" s="1" t="s">
        <v>24</v>
      </c>
      <c r="E20" s="66">
        <v>34364</v>
      </c>
      <c r="F20" s="37">
        <f>(E20/$E172)*100</f>
        <v>4.4374083180099584</v>
      </c>
      <c r="G20" s="37"/>
      <c r="H20" s="36"/>
      <c r="I20" s="66">
        <v>31252</v>
      </c>
      <c r="J20" s="38"/>
      <c r="K20" s="63">
        <v>3.3</v>
      </c>
      <c r="M20" s="55"/>
    </row>
    <row r="21" spans="3:13">
      <c r="C21">
        <f t="shared" si="0"/>
        <v>1964</v>
      </c>
      <c r="D21" s="1" t="s">
        <v>25</v>
      </c>
      <c r="E21" s="66">
        <v>35072</v>
      </c>
      <c r="F21" s="37">
        <f>(E21/$E173)*100</f>
        <v>4.4787021571121359</v>
      </c>
      <c r="G21" s="37"/>
      <c r="H21" s="36"/>
      <c r="I21" s="66">
        <v>31936</v>
      </c>
      <c r="J21" s="38"/>
      <c r="K21" s="63">
        <v>3</v>
      </c>
      <c r="M21" s="55"/>
    </row>
    <row r="22" spans="3:13">
      <c r="C22">
        <f t="shared" si="0"/>
        <v>1964</v>
      </c>
      <c r="D22" s="1" t="s">
        <v>26</v>
      </c>
      <c r="E22" s="66">
        <v>35764</v>
      </c>
      <c r="F22" s="37">
        <f>(E22/$E174)*100</f>
        <v>4.5037829560451739</v>
      </c>
      <c r="G22" s="37"/>
      <c r="H22" s="36"/>
      <c r="I22" s="66">
        <v>32496</v>
      </c>
      <c r="J22" s="38"/>
      <c r="K22" s="63">
        <v>3.1</v>
      </c>
      <c r="M22" s="55"/>
    </row>
    <row r="23" spans="3:13">
      <c r="C23">
        <f>C19+1</f>
        <v>1965</v>
      </c>
      <c r="D23" s="1" t="s">
        <v>23</v>
      </c>
      <c r="E23" s="66">
        <v>36828</v>
      </c>
      <c r="F23" s="37">
        <f>(E23/$E171)*100</f>
        <v>4.7784634388121052</v>
      </c>
      <c r="G23" s="37"/>
      <c r="H23" s="36"/>
      <c r="I23" s="66">
        <v>33708</v>
      </c>
      <c r="J23" s="38"/>
      <c r="K23" s="63">
        <v>5.7</v>
      </c>
      <c r="M23" s="55"/>
    </row>
    <row r="24" spans="3:13">
      <c r="C24">
        <f t="shared" si="0"/>
        <v>1965</v>
      </c>
      <c r="D24" s="1" t="s">
        <v>24</v>
      </c>
      <c r="E24" s="66">
        <v>37552</v>
      </c>
      <c r="F24" s="37">
        <f>(E24/$E172)*100</f>
        <v>4.849073366252763</v>
      </c>
      <c r="G24" s="37"/>
      <c r="H24" s="36"/>
      <c r="I24" s="66">
        <v>34004</v>
      </c>
      <c r="J24" s="38"/>
      <c r="K24" s="63">
        <v>3.3</v>
      </c>
      <c r="M24" s="55"/>
    </row>
    <row r="25" spans="3:13">
      <c r="C25">
        <f t="shared" si="0"/>
        <v>1965</v>
      </c>
      <c r="D25" s="1" t="s">
        <v>25</v>
      </c>
      <c r="E25" s="66">
        <v>38732</v>
      </c>
      <c r="F25" s="37">
        <f>(E25/$E173)*100</f>
        <v>4.9460849666191624</v>
      </c>
      <c r="G25" s="37"/>
      <c r="H25" s="36"/>
      <c r="I25" s="66">
        <v>35192</v>
      </c>
      <c r="J25" s="38"/>
      <c r="K25" s="63">
        <v>4.7</v>
      </c>
      <c r="M25" s="55"/>
    </row>
    <row r="26" spans="3:13">
      <c r="C26">
        <f t="shared" si="0"/>
        <v>1965</v>
      </c>
      <c r="D26" s="1" t="s">
        <v>26</v>
      </c>
      <c r="E26" s="66">
        <v>40024</v>
      </c>
      <c r="F26" s="37">
        <f>(E26/$E174)*100</f>
        <v>5.0402474284965901</v>
      </c>
      <c r="G26" s="37"/>
      <c r="H26" s="36"/>
      <c r="I26" s="66">
        <v>36348</v>
      </c>
      <c r="J26" s="38"/>
      <c r="K26" s="63">
        <v>4.8</v>
      </c>
      <c r="M26" s="55"/>
    </row>
    <row r="27" spans="3:13">
      <c r="C27">
        <f>C23+1</f>
        <v>1966</v>
      </c>
      <c r="D27" s="1" t="s">
        <v>23</v>
      </c>
      <c r="E27" s="66">
        <v>41728</v>
      </c>
      <c r="F27" s="37">
        <f>(E27/$E171)*100</f>
        <v>5.4142424887246534</v>
      </c>
      <c r="G27" s="37"/>
      <c r="H27" s="36"/>
      <c r="I27" s="66">
        <v>37596</v>
      </c>
      <c r="J27" s="38"/>
      <c r="K27" s="63">
        <v>6.2</v>
      </c>
      <c r="M27" s="55"/>
    </row>
    <row r="28" spans="3:13">
      <c r="C28">
        <f t="shared" si="0"/>
        <v>1966</v>
      </c>
      <c r="D28" s="1" t="s">
        <v>24</v>
      </c>
      <c r="E28" s="66">
        <v>42888</v>
      </c>
      <c r="F28" s="37">
        <f>(E28/$E172)*100</f>
        <v>5.53810871676205</v>
      </c>
      <c r="G28" s="37"/>
      <c r="H28" s="36"/>
      <c r="I28" s="66">
        <v>38508</v>
      </c>
      <c r="J28" s="38"/>
      <c r="K28" s="63">
        <v>6.8</v>
      </c>
      <c r="M28" s="55"/>
    </row>
    <row r="29" spans="3:13">
      <c r="C29">
        <f t="shared" si="0"/>
        <v>1966</v>
      </c>
      <c r="D29" s="1" t="s">
        <v>25</v>
      </c>
      <c r="E29" s="66">
        <v>43704</v>
      </c>
      <c r="F29" s="37">
        <f>(E29/$E173)*100</f>
        <v>5.5810104663101274</v>
      </c>
      <c r="G29" s="37"/>
      <c r="H29" s="36"/>
      <c r="I29" s="66">
        <v>39064</v>
      </c>
      <c r="J29" s="38"/>
      <c r="K29" s="63">
        <v>5.8</v>
      </c>
      <c r="M29" s="55"/>
    </row>
    <row r="30" spans="3:13">
      <c r="C30">
        <f t="shared" si="0"/>
        <v>1966</v>
      </c>
      <c r="D30" s="1" t="s">
        <v>26</v>
      </c>
      <c r="E30" s="66">
        <v>44876</v>
      </c>
      <c r="F30" s="37">
        <f>(E30/$E174)*100</f>
        <v>5.651262832330926</v>
      </c>
      <c r="G30" s="37"/>
      <c r="H30" s="36"/>
      <c r="I30" s="66">
        <v>39884</v>
      </c>
      <c r="J30" s="38"/>
      <c r="K30" s="63">
        <v>6.6</v>
      </c>
      <c r="M30" s="55"/>
    </row>
    <row r="31" spans="3:13">
      <c r="C31">
        <f t="shared" si="0"/>
        <v>1967</v>
      </c>
      <c r="D31" s="1" t="s">
        <v>23</v>
      </c>
      <c r="E31" s="66">
        <v>45476</v>
      </c>
      <c r="F31" s="37">
        <f>(E31/$E171)*100</f>
        <v>5.9005485864944962</v>
      </c>
      <c r="G31" s="37"/>
      <c r="H31" s="36"/>
      <c r="I31" s="66">
        <v>40204</v>
      </c>
      <c r="J31" s="38"/>
      <c r="K31" s="63">
        <v>5.9</v>
      </c>
      <c r="M31" s="55"/>
    </row>
    <row r="32" spans="3:13">
      <c r="C32">
        <f t="shared" si="0"/>
        <v>1967</v>
      </c>
      <c r="D32" s="1" t="s">
        <v>24</v>
      </c>
      <c r="E32" s="66">
        <v>46416</v>
      </c>
      <c r="F32" s="37">
        <f>(E32/$E172)*100</f>
        <v>5.9936778165740376</v>
      </c>
      <c r="G32" s="37"/>
      <c r="H32" s="36"/>
      <c r="I32" s="66">
        <v>41556</v>
      </c>
      <c r="J32" s="38"/>
      <c r="K32" s="63">
        <v>6.1</v>
      </c>
      <c r="M32" s="55"/>
    </row>
    <row r="33" spans="3:13">
      <c r="C33">
        <f t="shared" si="0"/>
        <v>1967</v>
      </c>
      <c r="D33" s="1" t="s">
        <v>25</v>
      </c>
      <c r="E33" s="66">
        <v>47348</v>
      </c>
      <c r="F33" s="37">
        <f>(E33/$E173)*100</f>
        <v>6.046350072278325</v>
      </c>
      <c r="G33" s="37"/>
      <c r="H33" s="36"/>
      <c r="I33" s="66">
        <v>41908</v>
      </c>
      <c r="J33" s="38"/>
      <c r="K33" s="63">
        <v>6</v>
      </c>
      <c r="M33" s="55"/>
    </row>
    <row r="34" spans="3:13">
      <c r="C34">
        <f t="shared" si="0"/>
        <v>1967</v>
      </c>
      <c r="D34" s="1" t="s">
        <v>26</v>
      </c>
      <c r="E34" s="66">
        <v>48068</v>
      </c>
      <c r="F34" s="37">
        <f>(E34/$E174)*100</f>
        <v>6.0532333947874797</v>
      </c>
      <c r="G34" s="37"/>
      <c r="H34" s="36"/>
      <c r="I34" s="66">
        <v>42612</v>
      </c>
      <c r="J34" s="38"/>
      <c r="K34" s="63">
        <v>4.7</v>
      </c>
      <c r="M34" s="55"/>
    </row>
    <row r="35" spans="3:13">
      <c r="C35">
        <f t="shared" si="0"/>
        <v>1968</v>
      </c>
      <c r="D35" s="1" t="s">
        <v>23</v>
      </c>
      <c r="E35" s="66">
        <v>48972</v>
      </c>
      <c r="F35" s="37">
        <f>(E35/$E171)*100</f>
        <v>6.3541574759831212</v>
      </c>
      <c r="G35" s="37"/>
      <c r="H35" s="36"/>
      <c r="I35" s="66">
        <v>42940</v>
      </c>
      <c r="J35" s="38"/>
      <c r="K35" s="63">
        <v>3.2</v>
      </c>
      <c r="M35" s="55"/>
    </row>
    <row r="36" spans="3:13">
      <c r="C36">
        <f t="shared" si="0"/>
        <v>1968</v>
      </c>
      <c r="D36" s="1" t="s">
        <v>24</v>
      </c>
      <c r="E36" s="66">
        <v>50280</v>
      </c>
      <c r="F36" s="37">
        <f>(E36/$E172)*100</f>
        <v>6.4926344497014528</v>
      </c>
      <c r="G36" s="37"/>
      <c r="H36" s="36"/>
      <c r="I36" s="66">
        <v>44680</v>
      </c>
      <c r="J36" s="38"/>
      <c r="K36" s="63">
        <v>5.7</v>
      </c>
      <c r="M36" s="55"/>
    </row>
    <row r="37" spans="3:13">
      <c r="C37">
        <f t="shared" si="0"/>
        <v>1968</v>
      </c>
      <c r="D37" s="1" t="s">
        <v>25</v>
      </c>
      <c r="E37" s="66">
        <v>51436</v>
      </c>
      <c r="F37" s="37">
        <f>(E37/$E173)*100</f>
        <v>6.5683885764490153</v>
      </c>
      <c r="G37" s="37"/>
      <c r="H37" s="36"/>
      <c r="I37" s="66">
        <v>45240</v>
      </c>
      <c r="J37" s="38"/>
      <c r="K37" s="63">
        <v>4.3</v>
      </c>
      <c r="M37" s="55"/>
    </row>
    <row r="38" spans="3:13">
      <c r="C38">
        <f t="shared" si="0"/>
        <v>1968</v>
      </c>
      <c r="D38" s="1" t="s">
        <v>26</v>
      </c>
      <c r="E38" s="66">
        <v>52984</v>
      </c>
      <c r="F38" s="37">
        <f>(E38/$E174)*100</f>
        <v>6.6723083587713203</v>
      </c>
      <c r="G38" s="37"/>
      <c r="H38" s="36"/>
      <c r="I38" s="66">
        <v>46220</v>
      </c>
      <c r="J38" s="38"/>
      <c r="K38" s="63">
        <v>4</v>
      </c>
      <c r="M38" s="55"/>
    </row>
    <row r="39" spans="3:13">
      <c r="C39">
        <f t="shared" si="0"/>
        <v>1969</v>
      </c>
      <c r="D39" s="1" t="s">
        <v>23</v>
      </c>
      <c r="E39" s="66">
        <v>54772</v>
      </c>
      <c r="F39" s="37">
        <f>(E39/$E171)*100</f>
        <v>7.1067122697571579</v>
      </c>
      <c r="G39" s="37"/>
      <c r="H39" s="36"/>
      <c r="I39" s="66">
        <v>47792</v>
      </c>
      <c r="J39" s="38"/>
      <c r="K39" s="63">
        <v>4.5</v>
      </c>
      <c r="M39" s="55"/>
    </row>
    <row r="40" spans="3:13">
      <c r="C40">
        <f t="shared" si="0"/>
        <v>1969</v>
      </c>
      <c r="D40" s="1" t="s">
        <v>24</v>
      </c>
      <c r="E40" s="66">
        <v>55796</v>
      </c>
      <c r="F40" s="37">
        <f>(E40/$E172)*100</f>
        <v>7.2049131216297191</v>
      </c>
      <c r="G40" s="37"/>
      <c r="H40" s="36"/>
      <c r="I40" s="66">
        <v>47860</v>
      </c>
      <c r="J40" s="38"/>
      <c r="K40" s="63">
        <v>3.6</v>
      </c>
      <c r="M40" s="55"/>
    </row>
    <row r="41" spans="3:13">
      <c r="C41">
        <f t="shared" si="0"/>
        <v>1969</v>
      </c>
      <c r="D41" s="1" t="s">
        <v>25</v>
      </c>
      <c r="E41" s="66">
        <v>57424</v>
      </c>
      <c r="F41" s="37">
        <f>(E41/$E173)*100</f>
        <v>7.3330575008555918</v>
      </c>
      <c r="G41" s="37"/>
      <c r="H41" s="36"/>
      <c r="I41" s="66">
        <v>49284</v>
      </c>
      <c r="J41" s="38"/>
      <c r="K41" s="63">
        <v>4.7</v>
      </c>
      <c r="M41" s="55"/>
    </row>
    <row r="42" spans="3:13">
      <c r="C42">
        <f t="shared" si="0"/>
        <v>1969</v>
      </c>
      <c r="D42" s="1" t="s">
        <v>26</v>
      </c>
      <c r="E42" s="66">
        <v>58844</v>
      </c>
      <c r="F42" s="37">
        <f>(E42/$E174)*100</f>
        <v>7.410261834960358</v>
      </c>
      <c r="G42" s="37"/>
      <c r="H42" s="36"/>
      <c r="I42" s="66">
        <v>50232</v>
      </c>
      <c r="J42" s="38"/>
      <c r="K42" s="63">
        <v>4.3</v>
      </c>
      <c r="M42" s="55"/>
    </row>
    <row r="43" spans="3:13">
      <c r="C43">
        <f t="shared" si="0"/>
        <v>1970</v>
      </c>
      <c r="D43" s="1" t="s">
        <v>23</v>
      </c>
      <c r="E43" s="66">
        <v>60160</v>
      </c>
      <c r="F43" s="37"/>
      <c r="G43" s="37"/>
      <c r="H43" s="36"/>
      <c r="I43" s="66">
        <v>51532</v>
      </c>
      <c r="J43" s="38"/>
      <c r="K43" s="63">
        <v>6.6</v>
      </c>
      <c r="M43" s="55"/>
    </row>
    <row r="44" spans="3:13">
      <c r="C44">
        <f t="shared" si="0"/>
        <v>1970</v>
      </c>
      <c r="D44" s="1" t="s">
        <v>24</v>
      </c>
      <c r="E44" s="66">
        <v>60448</v>
      </c>
      <c r="F44" s="37"/>
      <c r="G44" s="37"/>
      <c r="H44" s="36"/>
      <c r="I44" s="66">
        <v>50860</v>
      </c>
      <c r="J44" s="38"/>
      <c r="K44" s="63">
        <v>4.2</v>
      </c>
      <c r="M44" s="55"/>
    </row>
    <row r="45" spans="3:13">
      <c r="C45">
        <f t="shared" si="0"/>
        <v>1970</v>
      </c>
      <c r="D45" s="1" t="s">
        <v>25</v>
      </c>
      <c r="E45" s="66">
        <v>61480</v>
      </c>
      <c r="F45" s="37"/>
      <c r="G45" s="37"/>
      <c r="H45" s="36"/>
      <c r="I45" s="66">
        <v>52364</v>
      </c>
      <c r="J45" s="38"/>
      <c r="K45" s="63">
        <v>5</v>
      </c>
      <c r="M45" s="55"/>
    </row>
    <row r="46" spans="3:13">
      <c r="C46">
        <f t="shared" si="0"/>
        <v>1970</v>
      </c>
      <c r="D46" s="1" t="s">
        <v>26</v>
      </c>
      <c r="E46" s="66">
        <v>62652</v>
      </c>
      <c r="F46" s="37"/>
      <c r="G46" s="37"/>
      <c r="H46" s="36"/>
      <c r="I46" s="66">
        <v>53272</v>
      </c>
      <c r="J46" s="38"/>
      <c r="K46" s="63">
        <v>5.5</v>
      </c>
      <c r="M46" s="55"/>
    </row>
    <row r="47" spans="3:13">
      <c r="C47">
        <f t="shared" si="0"/>
        <v>1971</v>
      </c>
      <c r="D47" s="1" t="s">
        <v>23</v>
      </c>
      <c r="E47" s="66">
        <v>64068</v>
      </c>
      <c r="F47" s="37"/>
      <c r="G47" s="37"/>
      <c r="H47" s="36"/>
      <c r="I47" s="66">
        <v>54748</v>
      </c>
      <c r="J47" s="38"/>
      <c r="K47" s="63">
        <v>7.9</v>
      </c>
      <c r="M47" s="55"/>
    </row>
    <row r="48" spans="3:13">
      <c r="C48">
        <f t="shared" si="0"/>
        <v>1971</v>
      </c>
      <c r="D48" s="1" t="s">
        <v>24</v>
      </c>
      <c r="E48" s="66">
        <v>66240</v>
      </c>
      <c r="F48" s="37"/>
      <c r="G48" s="37"/>
      <c r="H48" s="36"/>
      <c r="I48" s="66">
        <v>55892</v>
      </c>
      <c r="J48" s="38"/>
      <c r="K48" s="63">
        <v>5.6</v>
      </c>
      <c r="M48" s="55"/>
    </row>
    <row r="49" spans="3:13">
      <c r="C49">
        <f t="shared" si="0"/>
        <v>1971</v>
      </c>
      <c r="D49" s="1" t="s">
        <v>25</v>
      </c>
      <c r="E49" s="66">
        <v>67876</v>
      </c>
      <c r="F49" s="37"/>
      <c r="G49" s="37"/>
      <c r="H49" s="36"/>
      <c r="I49" s="66">
        <v>57556</v>
      </c>
      <c r="J49" s="38"/>
      <c r="K49" s="63">
        <v>5.5</v>
      </c>
      <c r="M49" s="55"/>
    </row>
    <row r="50" spans="3:13">
      <c r="C50">
        <f t="shared" si="0"/>
        <v>1971</v>
      </c>
      <c r="D50" s="1" t="s">
        <v>26</v>
      </c>
      <c r="E50" s="66">
        <v>69400</v>
      </c>
      <c r="F50" s="37"/>
      <c r="G50" s="37"/>
      <c r="H50" s="36"/>
      <c r="I50" s="66">
        <v>59260</v>
      </c>
      <c r="J50" s="38"/>
      <c r="K50" s="63">
        <v>5.2</v>
      </c>
      <c r="M50" s="55"/>
    </row>
    <row r="51" spans="3:13">
      <c r="C51">
        <f t="shared" si="0"/>
        <v>1972</v>
      </c>
      <c r="D51" s="1" t="s">
        <v>23</v>
      </c>
      <c r="E51" s="66">
        <v>71804</v>
      </c>
      <c r="F51" s="37"/>
      <c r="G51" s="37"/>
      <c r="H51" s="36"/>
      <c r="I51" s="66">
        <v>61736</v>
      </c>
      <c r="J51" s="38"/>
      <c r="K51" s="63">
        <v>7.9</v>
      </c>
      <c r="M51" s="55"/>
    </row>
    <row r="52" spans="3:13">
      <c r="C52">
        <f t="shared" si="0"/>
        <v>1972</v>
      </c>
      <c r="D52" s="1" t="s">
        <v>24</v>
      </c>
      <c r="E52" s="66">
        <v>74068</v>
      </c>
      <c r="F52" s="37"/>
      <c r="G52" s="37"/>
      <c r="H52" s="36"/>
      <c r="I52" s="66">
        <v>63368</v>
      </c>
      <c r="J52" s="38"/>
      <c r="K52" s="63">
        <v>7.2</v>
      </c>
      <c r="M52" s="55"/>
    </row>
    <row r="53" spans="3:13">
      <c r="C53">
        <f t="shared" si="0"/>
        <v>1972</v>
      </c>
      <c r="D53" s="1" t="s">
        <v>25</v>
      </c>
      <c r="E53" s="66">
        <v>76020</v>
      </c>
      <c r="F53" s="37"/>
      <c r="G53" s="37"/>
      <c r="H53" s="36"/>
      <c r="I53" s="66">
        <v>65088</v>
      </c>
      <c r="J53" s="38"/>
      <c r="K53" s="63">
        <v>7.5</v>
      </c>
      <c r="M53" s="55"/>
    </row>
    <row r="54" spans="3:13">
      <c r="C54">
        <f t="shared" si="0"/>
        <v>1972</v>
      </c>
      <c r="D54" s="1" t="s">
        <v>26</v>
      </c>
      <c r="E54" s="66">
        <v>79216</v>
      </c>
      <c r="F54" s="37"/>
      <c r="G54" s="37"/>
      <c r="H54" s="36"/>
      <c r="I54" s="66">
        <v>68024</v>
      </c>
      <c r="J54" s="38"/>
      <c r="K54" s="63">
        <v>8.5</v>
      </c>
      <c r="M54" s="55"/>
    </row>
    <row r="55" spans="3:13">
      <c r="C55">
        <f t="shared" si="0"/>
        <v>1973</v>
      </c>
      <c r="D55" s="1" t="s">
        <v>23</v>
      </c>
      <c r="E55" s="66">
        <v>83024</v>
      </c>
      <c r="F55" s="37"/>
      <c r="G55" s="37"/>
      <c r="H55" s="36"/>
      <c r="I55" s="66">
        <v>70212</v>
      </c>
      <c r="J55" s="38"/>
      <c r="K55" s="63">
        <v>7.7</v>
      </c>
      <c r="M55" s="55"/>
    </row>
    <row r="56" spans="3:13">
      <c r="C56">
        <f t="shared" si="0"/>
        <v>1973</v>
      </c>
      <c r="D56" s="1" t="s">
        <v>24</v>
      </c>
      <c r="E56" s="66">
        <v>86560</v>
      </c>
      <c r="F56" s="37"/>
      <c r="G56" s="37"/>
      <c r="H56" s="36"/>
      <c r="I56" s="66">
        <v>73444</v>
      </c>
      <c r="J56" s="38"/>
      <c r="K56" s="63">
        <v>9.3000000000000007</v>
      </c>
      <c r="M56" s="55"/>
    </row>
    <row r="57" spans="3:13">
      <c r="C57">
        <f t="shared" si="0"/>
        <v>1973</v>
      </c>
      <c r="D57" s="1" t="s">
        <v>25</v>
      </c>
      <c r="E57" s="66">
        <v>88716</v>
      </c>
      <c r="F57" s="37"/>
      <c r="G57" s="37"/>
      <c r="H57" s="36"/>
      <c r="I57" s="66">
        <v>76404</v>
      </c>
      <c r="J57" s="38"/>
      <c r="K57" s="63">
        <v>10.199999999999999</v>
      </c>
      <c r="M57" s="55"/>
    </row>
    <row r="58" spans="3:13">
      <c r="C58">
        <f t="shared" si="0"/>
        <v>1973</v>
      </c>
      <c r="D58" s="1" t="s">
        <v>26</v>
      </c>
      <c r="E58" s="66">
        <v>93912</v>
      </c>
      <c r="F58" s="37"/>
      <c r="G58" s="37"/>
      <c r="H58" s="36"/>
      <c r="I58" s="66">
        <v>80484</v>
      </c>
      <c r="J58" s="38"/>
      <c r="K58" s="63">
        <v>11.7</v>
      </c>
      <c r="M58" s="55"/>
    </row>
    <row r="59" spans="3:13">
      <c r="C59">
        <f t="shared" si="0"/>
        <v>1974</v>
      </c>
      <c r="D59" s="1" t="s">
        <v>23</v>
      </c>
      <c r="E59" s="66">
        <v>97572</v>
      </c>
      <c r="F59" s="37"/>
      <c r="G59" s="37"/>
      <c r="H59" s="36"/>
      <c r="I59" s="66">
        <v>84168</v>
      </c>
      <c r="J59" s="38"/>
      <c r="K59" s="63">
        <v>11.2</v>
      </c>
      <c r="M59" s="55"/>
    </row>
    <row r="60" spans="3:13">
      <c r="C60">
        <f t="shared" si="0"/>
        <v>1974</v>
      </c>
      <c r="D60" s="1" t="s">
        <v>24</v>
      </c>
      <c r="E60" s="66">
        <v>101680</v>
      </c>
      <c r="F60" s="37"/>
      <c r="G60" s="37"/>
      <c r="H60" s="36"/>
      <c r="I60" s="66">
        <v>84904</v>
      </c>
      <c r="J60" s="38"/>
      <c r="K60" s="63">
        <v>8.9</v>
      </c>
      <c r="M60" s="55"/>
    </row>
    <row r="61" spans="3:13">
      <c r="C61">
        <f t="shared" si="0"/>
        <v>1974</v>
      </c>
      <c r="D61" s="1" t="s">
        <v>25</v>
      </c>
      <c r="E61" s="66">
        <v>107312</v>
      </c>
      <c r="F61" s="37"/>
      <c r="G61" s="37"/>
      <c r="H61" s="36"/>
      <c r="I61" s="66">
        <v>90764</v>
      </c>
      <c r="J61" s="38"/>
      <c r="K61" s="63">
        <v>11.9</v>
      </c>
      <c r="M61" s="55"/>
    </row>
    <row r="62" spans="3:13">
      <c r="C62">
        <f t="shared" si="0"/>
        <v>1974</v>
      </c>
      <c r="D62" s="1" t="s">
        <v>26</v>
      </c>
      <c r="E62" s="66">
        <v>112292</v>
      </c>
      <c r="F62" s="37"/>
      <c r="G62" s="37"/>
      <c r="H62" s="36"/>
      <c r="I62" s="66">
        <v>94492</v>
      </c>
      <c r="J62" s="38"/>
      <c r="K62" s="63">
        <v>13.8</v>
      </c>
      <c r="M62" s="55"/>
    </row>
    <row r="63" spans="3:13">
      <c r="C63">
        <f t="shared" si="0"/>
        <v>1975</v>
      </c>
      <c r="D63" s="1" t="s">
        <v>23</v>
      </c>
      <c r="E63" s="66">
        <v>113772</v>
      </c>
      <c r="F63" s="37"/>
      <c r="G63" s="37"/>
      <c r="H63" s="36"/>
      <c r="I63" s="66">
        <v>96948</v>
      </c>
      <c r="J63" s="38"/>
      <c r="K63" s="63">
        <v>12.1</v>
      </c>
      <c r="M63" s="55"/>
    </row>
    <row r="64" spans="3:13">
      <c r="C64">
        <f t="shared" si="0"/>
        <v>1975</v>
      </c>
      <c r="D64" s="1" t="s">
        <v>24</v>
      </c>
      <c r="E64" s="66">
        <v>118596</v>
      </c>
      <c r="F64" s="37"/>
      <c r="G64" s="37"/>
      <c r="H64" s="36"/>
      <c r="I64" s="66">
        <v>100688</v>
      </c>
      <c r="J64" s="38"/>
      <c r="K64" s="63">
        <v>12.8</v>
      </c>
      <c r="M64" s="55"/>
    </row>
    <row r="65" spans="3:13">
      <c r="C65">
        <f t="shared" si="0"/>
        <v>1975</v>
      </c>
      <c r="D65" s="1" t="s">
        <v>25</v>
      </c>
      <c r="E65" s="66">
        <v>123804</v>
      </c>
      <c r="F65" s="37"/>
      <c r="G65" s="37"/>
      <c r="H65" s="36"/>
      <c r="I65" s="66">
        <v>105628</v>
      </c>
      <c r="J65" s="38"/>
      <c r="K65" s="63">
        <v>13.2</v>
      </c>
      <c r="M65" s="55"/>
    </row>
    <row r="66" spans="3:13">
      <c r="C66">
        <f t="shared" si="0"/>
        <v>1975</v>
      </c>
      <c r="D66" s="1" t="s">
        <v>26</v>
      </c>
      <c r="E66" s="66">
        <v>126576</v>
      </c>
      <c r="F66" s="37"/>
      <c r="G66" s="37"/>
      <c r="H66" s="36"/>
      <c r="I66" s="66">
        <v>108216</v>
      </c>
      <c r="J66" s="38"/>
      <c r="K66" s="63">
        <v>12</v>
      </c>
      <c r="M66" s="55"/>
    </row>
    <row r="67" spans="3:13">
      <c r="C67">
        <f t="shared" si="0"/>
        <v>1976</v>
      </c>
      <c r="D67" s="1" t="s">
        <v>23</v>
      </c>
      <c r="E67" s="66">
        <v>131548</v>
      </c>
      <c r="F67" s="37"/>
      <c r="G67" s="37"/>
      <c r="H67" s="36"/>
      <c r="I67" s="66">
        <v>110864</v>
      </c>
      <c r="J67" s="38"/>
      <c r="K67" s="63">
        <v>12.8</v>
      </c>
      <c r="M67" s="55"/>
    </row>
    <row r="68" spans="3:13">
      <c r="C68">
        <f t="shared" si="0"/>
        <v>1976</v>
      </c>
      <c r="D68" s="1" t="s">
        <v>24</v>
      </c>
      <c r="E68" s="66">
        <v>137636</v>
      </c>
      <c r="F68" s="37"/>
      <c r="G68" s="37"/>
      <c r="H68" s="36"/>
      <c r="I68" s="66">
        <v>116596</v>
      </c>
      <c r="J68" s="38"/>
      <c r="K68" s="63">
        <v>13.6</v>
      </c>
      <c r="M68" s="55"/>
    </row>
    <row r="69" spans="3:13">
      <c r="C69">
        <f t="shared" si="0"/>
        <v>1976</v>
      </c>
      <c r="D69" s="1" t="s">
        <v>25</v>
      </c>
      <c r="E69" s="66">
        <v>137884</v>
      </c>
      <c r="F69" s="37"/>
      <c r="G69" s="37"/>
      <c r="H69" s="36"/>
      <c r="I69" s="66">
        <v>114788</v>
      </c>
      <c r="J69" s="38"/>
      <c r="K69" s="63">
        <v>10.7</v>
      </c>
      <c r="M69" s="55"/>
    </row>
    <row r="70" spans="3:13">
      <c r="C70">
        <f t="shared" si="0"/>
        <v>1976</v>
      </c>
      <c r="D70" s="1" t="s">
        <v>26</v>
      </c>
      <c r="E70" s="66">
        <v>144512</v>
      </c>
      <c r="F70" s="37"/>
      <c r="G70" s="37"/>
      <c r="H70" s="36"/>
      <c r="I70" s="66">
        <v>120168</v>
      </c>
      <c r="J70" s="38"/>
      <c r="K70" s="63">
        <v>11.8</v>
      </c>
      <c r="M70" s="55"/>
    </row>
    <row r="71" spans="3:13">
      <c r="C71">
        <f t="shared" si="0"/>
        <v>1977</v>
      </c>
      <c r="D71" s="1" t="s">
        <v>23</v>
      </c>
      <c r="E71" s="66">
        <v>146932</v>
      </c>
      <c r="F71" s="37"/>
      <c r="G71" s="37"/>
      <c r="H71" s="36"/>
      <c r="I71" s="66">
        <v>121880</v>
      </c>
      <c r="J71" s="38"/>
      <c r="K71" s="63">
        <v>11.2</v>
      </c>
      <c r="M71" s="55"/>
    </row>
    <row r="72" spans="3:13">
      <c r="C72">
        <f t="shared" si="0"/>
        <v>1977</v>
      </c>
      <c r="D72" s="1" t="s">
        <v>24</v>
      </c>
      <c r="E72" s="66">
        <v>151404</v>
      </c>
      <c r="F72" s="37"/>
      <c r="G72" s="37"/>
      <c r="H72" s="36"/>
      <c r="I72" s="66">
        <v>126976</v>
      </c>
      <c r="J72" s="38"/>
      <c r="K72" s="63">
        <v>13.4</v>
      </c>
      <c r="M72" s="55"/>
    </row>
    <row r="73" spans="3:13">
      <c r="C73">
        <f t="shared" si="0"/>
        <v>1977</v>
      </c>
      <c r="D73" s="1" t="s">
        <v>25</v>
      </c>
      <c r="E73" s="66">
        <v>153864</v>
      </c>
      <c r="F73" s="37"/>
      <c r="G73" s="37"/>
      <c r="H73" s="36"/>
      <c r="I73" s="66">
        <v>128156</v>
      </c>
      <c r="J73" s="38"/>
      <c r="K73" s="63">
        <v>10.9</v>
      </c>
      <c r="M73" s="55"/>
    </row>
    <row r="74" spans="3:13">
      <c r="C74">
        <f t="shared" si="0"/>
        <v>1977</v>
      </c>
      <c r="D74" s="1" t="s">
        <v>26</v>
      </c>
      <c r="E74" s="66">
        <v>156788</v>
      </c>
      <c r="F74" s="37"/>
      <c r="G74" s="37"/>
      <c r="H74" s="36"/>
      <c r="I74" s="66">
        <v>132176</v>
      </c>
      <c r="J74" s="38"/>
      <c r="K74" s="63">
        <v>11.4</v>
      </c>
      <c r="M74" s="55"/>
    </row>
    <row r="75" spans="3:13">
      <c r="C75">
        <f t="shared" si="0"/>
        <v>1978</v>
      </c>
      <c r="D75" s="1" t="s">
        <v>23</v>
      </c>
      <c r="E75" s="66">
        <v>162896</v>
      </c>
      <c r="F75" s="37"/>
      <c r="G75" s="37"/>
      <c r="H75" s="36"/>
      <c r="I75" s="66">
        <v>139480</v>
      </c>
      <c r="J75" s="38"/>
      <c r="K75" s="63">
        <v>13.7</v>
      </c>
      <c r="M75" s="55"/>
    </row>
    <row r="76" spans="3:13">
      <c r="C76">
        <f t="shared" ref="C76:C139" si="1">C72+1</f>
        <v>1978</v>
      </c>
      <c r="D76" s="1" t="s">
        <v>24</v>
      </c>
      <c r="E76" s="66">
        <v>167372</v>
      </c>
      <c r="F76" s="37"/>
      <c r="G76" s="37"/>
      <c r="H76" s="36"/>
      <c r="I76" s="66">
        <v>141024</v>
      </c>
      <c r="J76" s="38"/>
      <c r="K76" s="63">
        <v>12.8</v>
      </c>
      <c r="M76" s="55"/>
    </row>
    <row r="77" spans="3:13">
      <c r="C77">
        <f t="shared" si="1"/>
        <v>1978</v>
      </c>
      <c r="D77" s="1" t="s">
        <v>25</v>
      </c>
      <c r="E77" s="66">
        <v>171396</v>
      </c>
      <c r="F77" s="37"/>
      <c r="G77" s="37"/>
      <c r="H77" s="36"/>
      <c r="I77" s="66">
        <v>143808</v>
      </c>
      <c r="J77" s="38"/>
      <c r="K77" s="63">
        <v>12.1</v>
      </c>
      <c r="M77" s="55"/>
    </row>
    <row r="78" spans="3:13">
      <c r="C78">
        <f t="shared" si="1"/>
        <v>1978</v>
      </c>
      <c r="D78" s="1" t="s">
        <v>26</v>
      </c>
      <c r="E78" s="66">
        <v>177052</v>
      </c>
      <c r="F78" s="37"/>
      <c r="G78" s="37"/>
      <c r="H78" s="36"/>
      <c r="I78" s="66">
        <v>148396</v>
      </c>
      <c r="J78" s="38"/>
      <c r="K78" s="63">
        <v>12.6</v>
      </c>
      <c r="M78" s="55"/>
    </row>
    <row r="79" spans="3:13">
      <c r="C79">
        <f t="shared" si="1"/>
        <v>1979</v>
      </c>
      <c r="D79" s="1" t="s">
        <v>23</v>
      </c>
      <c r="E79" s="66">
        <v>182420</v>
      </c>
      <c r="F79" s="37"/>
      <c r="G79" s="37"/>
      <c r="H79" s="36"/>
      <c r="I79" s="66">
        <v>151656</v>
      </c>
      <c r="J79" s="38"/>
      <c r="K79" s="63">
        <v>11.6</v>
      </c>
      <c r="M79" s="55"/>
    </row>
    <row r="80" spans="3:13">
      <c r="C80">
        <f t="shared" si="1"/>
        <v>1979</v>
      </c>
      <c r="D80" s="1" t="s">
        <v>24</v>
      </c>
      <c r="E80" s="66">
        <v>188248</v>
      </c>
      <c r="F80" s="37"/>
      <c r="G80" s="37"/>
      <c r="H80" s="36"/>
      <c r="I80" s="66">
        <v>159628</v>
      </c>
      <c r="J80" s="38"/>
      <c r="K80" s="63">
        <v>14.1</v>
      </c>
      <c r="M80" s="55"/>
    </row>
    <row r="81" spans="3:13">
      <c r="C81">
        <f t="shared" si="1"/>
        <v>1979</v>
      </c>
      <c r="D81" s="1" t="s">
        <v>25</v>
      </c>
      <c r="E81" s="66">
        <v>194844</v>
      </c>
      <c r="F81" s="37"/>
      <c r="G81" s="37"/>
      <c r="H81" s="36"/>
      <c r="I81" s="66">
        <v>161596</v>
      </c>
      <c r="J81" s="38"/>
      <c r="K81" s="63">
        <v>13.2</v>
      </c>
      <c r="M81" s="55"/>
    </row>
    <row r="82" spans="3:13">
      <c r="C82">
        <f t="shared" si="1"/>
        <v>1979</v>
      </c>
      <c r="D82" s="1" t="s">
        <v>26</v>
      </c>
      <c r="E82" s="66">
        <v>202076</v>
      </c>
      <c r="F82" s="37"/>
      <c r="G82" s="37"/>
      <c r="H82" s="36"/>
      <c r="I82" s="66">
        <v>167800</v>
      </c>
      <c r="J82" s="38"/>
      <c r="K82" s="63">
        <v>14.4</v>
      </c>
      <c r="M82" s="55"/>
    </row>
    <row r="83" spans="3:13">
      <c r="C83">
        <f t="shared" si="1"/>
        <v>1980</v>
      </c>
      <c r="D83" s="1" t="s">
        <v>23</v>
      </c>
      <c r="E83" s="66">
        <v>206704</v>
      </c>
      <c r="F83" s="37"/>
      <c r="G83" s="37"/>
      <c r="H83" s="36"/>
      <c r="I83" s="66">
        <v>171932</v>
      </c>
      <c r="J83" s="38"/>
      <c r="K83" s="63">
        <v>14.1</v>
      </c>
      <c r="M83" s="55"/>
    </row>
    <row r="84" spans="3:13">
      <c r="C84">
        <f t="shared" si="1"/>
        <v>1980</v>
      </c>
      <c r="D84" s="1" t="s">
        <v>24</v>
      </c>
      <c r="E84" s="66">
        <v>212284</v>
      </c>
      <c r="F84" s="37"/>
      <c r="G84" s="37"/>
      <c r="H84" s="36"/>
      <c r="I84" s="66">
        <v>177336</v>
      </c>
      <c r="J84" s="38"/>
      <c r="K84" s="63">
        <v>14.9</v>
      </c>
      <c r="M84" s="55"/>
    </row>
    <row r="85" spans="3:13">
      <c r="C85">
        <f t="shared" si="1"/>
        <v>1980</v>
      </c>
      <c r="D85" s="1" t="s">
        <v>25</v>
      </c>
      <c r="E85" s="66">
        <v>219584</v>
      </c>
      <c r="F85" s="37"/>
      <c r="G85" s="37"/>
      <c r="H85" s="36"/>
      <c r="I85" s="66">
        <v>183164</v>
      </c>
      <c r="J85" s="38"/>
      <c r="K85" s="63">
        <v>13.9</v>
      </c>
      <c r="M85" s="55"/>
    </row>
    <row r="86" spans="3:13">
      <c r="C86">
        <f t="shared" si="1"/>
        <v>1980</v>
      </c>
      <c r="D86" s="1" t="s">
        <v>26</v>
      </c>
      <c r="E86" s="66">
        <v>232016</v>
      </c>
      <c r="F86" s="37"/>
      <c r="G86" s="37"/>
      <c r="H86" s="36"/>
      <c r="I86" s="66">
        <v>191896</v>
      </c>
      <c r="J86" s="38"/>
      <c r="K86" s="63">
        <v>14.9</v>
      </c>
      <c r="M86" s="55"/>
    </row>
    <row r="87" spans="3:13">
      <c r="C87">
        <f t="shared" si="1"/>
        <v>1981</v>
      </c>
      <c r="D87" s="1" t="s">
        <v>23</v>
      </c>
      <c r="E87" s="66">
        <v>242424</v>
      </c>
      <c r="F87" s="37"/>
      <c r="G87" s="37"/>
      <c r="H87" s="36"/>
      <c r="I87" s="66">
        <v>201268</v>
      </c>
      <c r="J87" s="38"/>
      <c r="K87" s="63">
        <v>16.399999999999999</v>
      </c>
      <c r="M87" s="55"/>
    </row>
    <row r="88" spans="3:13">
      <c r="C88">
        <f t="shared" si="1"/>
        <v>1981</v>
      </c>
      <c r="D88" s="1" t="s">
        <v>24</v>
      </c>
      <c r="E88" s="66">
        <v>252556</v>
      </c>
      <c r="F88" s="37"/>
      <c r="G88" s="37"/>
      <c r="H88" s="36"/>
      <c r="I88" s="66">
        <v>207200</v>
      </c>
      <c r="J88" s="38"/>
      <c r="K88" s="63">
        <v>17.3</v>
      </c>
      <c r="M88" s="55"/>
    </row>
    <row r="89" spans="3:13">
      <c r="C89">
        <f t="shared" si="1"/>
        <v>1981</v>
      </c>
      <c r="D89" s="1" t="s">
        <v>25</v>
      </c>
      <c r="E89" s="66">
        <v>260056</v>
      </c>
      <c r="F89" s="37"/>
      <c r="G89" s="37"/>
      <c r="H89" s="36"/>
      <c r="I89" s="66">
        <v>212212</v>
      </c>
      <c r="J89" s="38"/>
      <c r="K89" s="63">
        <v>17.8</v>
      </c>
      <c r="M89" s="55"/>
    </row>
    <row r="90" spans="3:13">
      <c r="C90">
        <f t="shared" si="1"/>
        <v>1981</v>
      </c>
      <c r="D90" s="1" t="s">
        <v>26</v>
      </c>
      <c r="E90" s="66">
        <v>267340</v>
      </c>
      <c r="F90" s="37"/>
      <c r="G90" s="37"/>
      <c r="H90" s="36"/>
      <c r="I90" s="66">
        <v>218892</v>
      </c>
      <c r="J90" s="38"/>
      <c r="K90" s="63">
        <v>18.2</v>
      </c>
      <c r="M90" s="55"/>
    </row>
    <row r="91" spans="3:13">
      <c r="C91">
        <f t="shared" si="1"/>
        <v>1982</v>
      </c>
      <c r="D91" s="1" t="s">
        <v>23</v>
      </c>
      <c r="E91" s="66">
        <v>276904</v>
      </c>
      <c r="F91" s="37"/>
      <c r="G91" s="37"/>
      <c r="H91" s="36"/>
      <c r="I91" s="66">
        <v>227216</v>
      </c>
      <c r="J91" s="38"/>
      <c r="K91" s="63">
        <v>21.6</v>
      </c>
      <c r="M91" s="55"/>
    </row>
    <row r="92" spans="3:13">
      <c r="C92">
        <f t="shared" si="1"/>
        <v>1982</v>
      </c>
      <c r="D92" s="1" t="s">
        <v>24</v>
      </c>
      <c r="E92" s="66">
        <v>280592</v>
      </c>
      <c r="F92" s="37"/>
      <c r="G92" s="37"/>
      <c r="H92" s="36"/>
      <c r="I92" s="66">
        <v>230392</v>
      </c>
      <c r="J92" s="38"/>
      <c r="K92" s="63">
        <v>21.3</v>
      </c>
      <c r="M92" s="55"/>
    </row>
    <row r="93" spans="3:13">
      <c r="C93">
        <f t="shared" si="1"/>
        <v>1982</v>
      </c>
      <c r="D93" s="1" t="s">
        <v>25</v>
      </c>
      <c r="E93" s="66">
        <v>279252</v>
      </c>
      <c r="F93" s="37"/>
      <c r="G93" s="37"/>
      <c r="H93" s="36"/>
      <c r="I93" s="66">
        <v>234636</v>
      </c>
      <c r="J93" s="38"/>
      <c r="K93" s="63">
        <v>20.2</v>
      </c>
      <c r="M93" s="55"/>
    </row>
    <row r="94" spans="3:13">
      <c r="C94">
        <f t="shared" si="1"/>
        <v>1982</v>
      </c>
      <c r="D94" s="1" t="s">
        <v>26</v>
      </c>
      <c r="E94" s="66">
        <v>277840</v>
      </c>
      <c r="F94" s="37"/>
      <c r="G94" s="37"/>
      <c r="H94" s="36"/>
      <c r="I94" s="66">
        <v>231684</v>
      </c>
      <c r="J94" s="38"/>
      <c r="K94" s="63">
        <v>18.600000000000001</v>
      </c>
      <c r="M94" s="55"/>
    </row>
    <row r="95" spans="3:13">
      <c r="C95">
        <f t="shared" si="1"/>
        <v>1983</v>
      </c>
      <c r="D95" s="1" t="s">
        <v>23</v>
      </c>
      <c r="E95" s="66">
        <v>280824</v>
      </c>
      <c r="F95" s="37"/>
      <c r="G95" s="37"/>
      <c r="H95" s="36"/>
      <c r="I95" s="66">
        <v>233724</v>
      </c>
      <c r="J95" s="38"/>
      <c r="K95" s="63">
        <v>16.600000000000001</v>
      </c>
      <c r="M95" s="55"/>
    </row>
    <row r="96" spans="3:13">
      <c r="C96">
        <f t="shared" si="1"/>
        <v>1983</v>
      </c>
      <c r="D96" s="1" t="s">
        <v>24</v>
      </c>
      <c r="E96" s="66">
        <v>288528</v>
      </c>
      <c r="F96" s="37"/>
      <c r="G96" s="37"/>
      <c r="H96" s="36"/>
      <c r="I96" s="66">
        <v>236040</v>
      </c>
      <c r="J96" s="38"/>
      <c r="K96" s="63">
        <v>14.7</v>
      </c>
      <c r="M96" s="55"/>
    </row>
    <row r="97" spans="3:13">
      <c r="C97">
        <f t="shared" si="1"/>
        <v>1983</v>
      </c>
      <c r="D97" s="1" t="s">
        <v>25</v>
      </c>
      <c r="E97" s="66">
        <v>296228</v>
      </c>
      <c r="F97" s="37"/>
      <c r="G97" s="37"/>
      <c r="H97" s="36"/>
      <c r="I97" s="66">
        <v>253880</v>
      </c>
      <c r="J97" s="38"/>
      <c r="K97" s="63">
        <v>18.7</v>
      </c>
      <c r="M97" s="55"/>
    </row>
    <row r="98" spans="3:13">
      <c r="C98">
        <f t="shared" si="1"/>
        <v>1983</v>
      </c>
      <c r="D98" s="1" t="s">
        <v>26</v>
      </c>
      <c r="E98" s="66">
        <v>301164</v>
      </c>
      <c r="F98" s="37"/>
      <c r="G98" s="37"/>
      <c r="H98" s="36"/>
      <c r="I98" s="66">
        <v>252176</v>
      </c>
      <c r="J98" s="38"/>
      <c r="K98" s="63">
        <v>15.7</v>
      </c>
      <c r="M98" s="55"/>
    </row>
    <row r="99" spans="3:13">
      <c r="C99">
        <f t="shared" si="1"/>
        <v>1984</v>
      </c>
      <c r="D99" s="1" t="s">
        <v>23</v>
      </c>
      <c r="E99" s="66">
        <v>303900</v>
      </c>
      <c r="F99" s="37"/>
      <c r="G99" s="37"/>
      <c r="H99" s="36"/>
      <c r="I99" s="66">
        <v>252420</v>
      </c>
      <c r="J99" s="38"/>
      <c r="K99" s="63">
        <v>14.6</v>
      </c>
      <c r="M99" s="55"/>
    </row>
    <row r="100" spans="3:13">
      <c r="C100">
        <f t="shared" si="1"/>
        <v>1984</v>
      </c>
      <c r="D100" s="1" t="s">
        <v>24</v>
      </c>
      <c r="E100" s="66">
        <v>312868</v>
      </c>
      <c r="F100" s="37"/>
      <c r="G100" s="37"/>
      <c r="H100" s="36"/>
      <c r="I100" s="66">
        <v>263432</v>
      </c>
      <c r="J100" s="38"/>
      <c r="K100" s="63">
        <v>17</v>
      </c>
      <c r="M100" s="55"/>
    </row>
    <row r="101" spans="3:13">
      <c r="C101">
        <f t="shared" si="1"/>
        <v>1984</v>
      </c>
      <c r="D101" s="1" t="s">
        <v>25</v>
      </c>
      <c r="E101" s="66">
        <v>322480</v>
      </c>
      <c r="F101" s="37"/>
      <c r="G101" s="37"/>
      <c r="H101" s="36"/>
      <c r="I101" s="66">
        <v>268496</v>
      </c>
      <c r="J101" s="38"/>
      <c r="K101" s="63">
        <v>17.7</v>
      </c>
      <c r="M101" s="55"/>
    </row>
    <row r="102" spans="3:13">
      <c r="C102">
        <f t="shared" si="1"/>
        <v>1984</v>
      </c>
      <c r="D102" s="1" t="s">
        <v>26</v>
      </c>
      <c r="E102" s="66">
        <v>327476</v>
      </c>
      <c r="F102" s="37"/>
      <c r="G102" s="37"/>
      <c r="H102" s="36"/>
      <c r="I102" s="66">
        <v>273244</v>
      </c>
      <c r="J102" s="38"/>
      <c r="K102" s="63">
        <v>17.100000000000001</v>
      </c>
      <c r="M102" s="55"/>
    </row>
    <row r="103" spans="3:13">
      <c r="C103">
        <f t="shared" si="1"/>
        <v>1985</v>
      </c>
      <c r="D103" s="1" t="s">
        <v>23</v>
      </c>
      <c r="E103" s="66">
        <v>332576</v>
      </c>
      <c r="F103" s="37"/>
      <c r="G103" s="37"/>
      <c r="H103" s="36"/>
      <c r="I103" s="66">
        <v>277252</v>
      </c>
      <c r="J103" s="38"/>
      <c r="K103" s="63">
        <v>15.8</v>
      </c>
      <c r="M103" s="55"/>
    </row>
    <row r="104" spans="3:13">
      <c r="C104">
        <f t="shared" si="1"/>
        <v>1985</v>
      </c>
      <c r="D104" s="1" t="s">
        <v>24</v>
      </c>
      <c r="E104" s="66">
        <v>340620</v>
      </c>
      <c r="F104" s="37"/>
      <c r="G104" s="37"/>
      <c r="H104" s="36"/>
      <c r="I104" s="66">
        <v>290440</v>
      </c>
      <c r="J104" s="38"/>
      <c r="K104" s="63">
        <v>17.600000000000001</v>
      </c>
      <c r="M104" s="55"/>
    </row>
    <row r="105" spans="3:13">
      <c r="C105">
        <f t="shared" si="1"/>
        <v>1985</v>
      </c>
      <c r="D105" s="1" t="s">
        <v>25</v>
      </c>
      <c r="E105" s="66">
        <v>347004</v>
      </c>
      <c r="F105" s="37"/>
      <c r="G105" s="37"/>
      <c r="H105" s="36"/>
      <c r="I105" s="66">
        <v>292288</v>
      </c>
      <c r="J105" s="38"/>
      <c r="K105" s="63">
        <v>14.6</v>
      </c>
      <c r="M105" s="55"/>
    </row>
    <row r="106" spans="3:13">
      <c r="C106">
        <f t="shared" si="1"/>
        <v>1985</v>
      </c>
      <c r="D106" s="1" t="s">
        <v>26</v>
      </c>
      <c r="E106" s="66">
        <v>352832</v>
      </c>
      <c r="F106" s="37"/>
      <c r="G106" s="37"/>
      <c r="H106" s="36"/>
      <c r="I106" s="66">
        <v>296528</v>
      </c>
      <c r="J106" s="38"/>
      <c r="K106" s="63">
        <v>14.3</v>
      </c>
      <c r="M106" s="55"/>
    </row>
    <row r="107" spans="3:13">
      <c r="C107">
        <f t="shared" si="1"/>
        <v>1986</v>
      </c>
      <c r="D107" s="1" t="s">
        <v>23</v>
      </c>
      <c r="E107" s="66">
        <v>359160</v>
      </c>
      <c r="F107" s="37"/>
      <c r="G107" s="37"/>
      <c r="H107" s="36"/>
      <c r="I107" s="66">
        <v>300288</v>
      </c>
      <c r="J107" s="38"/>
      <c r="K107" s="63">
        <v>14</v>
      </c>
      <c r="M107" s="55"/>
    </row>
    <row r="108" spans="3:13">
      <c r="C108">
        <f t="shared" si="1"/>
        <v>1986</v>
      </c>
      <c r="D108" s="1" t="s">
        <v>24</v>
      </c>
      <c r="E108" s="66">
        <v>365368</v>
      </c>
      <c r="F108" s="37"/>
      <c r="G108" s="37"/>
      <c r="H108" s="36"/>
      <c r="I108" s="66">
        <v>306380</v>
      </c>
      <c r="J108" s="38"/>
      <c r="K108" s="63">
        <v>14</v>
      </c>
      <c r="M108" s="55"/>
    </row>
    <row r="109" spans="3:13">
      <c r="C109">
        <f t="shared" si="1"/>
        <v>1986</v>
      </c>
      <c r="D109" s="1" t="s">
        <v>25</v>
      </c>
      <c r="E109" s="66">
        <v>368780</v>
      </c>
      <c r="F109" s="37"/>
      <c r="G109" s="37"/>
      <c r="H109" s="36"/>
      <c r="I109" s="66">
        <v>307272</v>
      </c>
      <c r="J109" s="38"/>
      <c r="K109" s="63">
        <v>12</v>
      </c>
      <c r="M109" s="55"/>
    </row>
    <row r="110" spans="3:13">
      <c r="C110">
        <f t="shared" si="1"/>
        <v>1986</v>
      </c>
      <c r="D110" s="1" t="s">
        <v>26</v>
      </c>
      <c r="E110" s="66">
        <v>374784</v>
      </c>
      <c r="F110" s="37"/>
      <c r="G110" s="37"/>
      <c r="H110" s="36"/>
      <c r="I110" s="66">
        <v>310016</v>
      </c>
      <c r="J110" s="38"/>
      <c r="K110" s="63">
        <v>12.3</v>
      </c>
      <c r="M110" s="55"/>
    </row>
    <row r="111" spans="3:13">
      <c r="C111">
        <f t="shared" si="1"/>
        <v>1987</v>
      </c>
      <c r="D111" s="1" t="s">
        <v>23</v>
      </c>
      <c r="E111" s="66">
        <v>382204</v>
      </c>
      <c r="F111" s="37"/>
      <c r="G111" s="37"/>
      <c r="H111" s="36"/>
      <c r="I111" s="66">
        <v>318708</v>
      </c>
      <c r="J111" s="38"/>
      <c r="K111" s="63">
        <v>12.5</v>
      </c>
      <c r="M111" s="55"/>
    </row>
    <row r="112" spans="3:13">
      <c r="C112">
        <f t="shared" si="1"/>
        <v>1987</v>
      </c>
      <c r="D112" s="1" t="s">
        <v>24</v>
      </c>
      <c r="E112" s="66">
        <v>391236</v>
      </c>
      <c r="F112" s="37"/>
      <c r="G112" s="37"/>
      <c r="H112" s="36"/>
      <c r="I112" s="66">
        <v>319140</v>
      </c>
      <c r="J112" s="38"/>
      <c r="K112" s="63">
        <v>11</v>
      </c>
      <c r="M112" s="55"/>
    </row>
    <row r="113" spans="3:13">
      <c r="C113">
        <f t="shared" si="1"/>
        <v>1987</v>
      </c>
      <c r="D113" s="1" t="s">
        <v>25</v>
      </c>
      <c r="E113" s="66">
        <v>397160</v>
      </c>
      <c r="F113" s="37"/>
      <c r="G113" s="37"/>
      <c r="H113" s="36"/>
      <c r="I113" s="66">
        <v>333012</v>
      </c>
      <c r="J113" s="38"/>
      <c r="K113" s="63">
        <v>11.3</v>
      </c>
      <c r="M113" s="55"/>
    </row>
    <row r="114" spans="3:13">
      <c r="C114">
        <f t="shared" si="1"/>
        <v>1987</v>
      </c>
      <c r="D114" s="1" t="s">
        <v>26</v>
      </c>
      <c r="E114" s="66">
        <v>407664</v>
      </c>
      <c r="F114" s="37"/>
      <c r="G114" s="37"/>
      <c r="H114" s="36"/>
      <c r="I114" s="66">
        <v>334768</v>
      </c>
      <c r="J114" s="38"/>
      <c r="K114" s="63">
        <v>11</v>
      </c>
      <c r="M114" s="55"/>
    </row>
    <row r="115" spans="3:13">
      <c r="C115">
        <f t="shared" si="1"/>
        <v>1988</v>
      </c>
      <c r="D115" s="1" t="s">
        <v>23</v>
      </c>
      <c r="E115" s="66">
        <v>416108</v>
      </c>
      <c r="F115" s="37"/>
      <c r="G115" s="37"/>
      <c r="H115" s="36"/>
      <c r="I115" s="66">
        <v>336484</v>
      </c>
      <c r="J115" s="38"/>
      <c r="K115" s="63">
        <v>10</v>
      </c>
      <c r="M115" s="55"/>
    </row>
    <row r="116" spans="3:13">
      <c r="C116">
        <f t="shared" si="1"/>
        <v>1988</v>
      </c>
      <c r="D116" s="1" t="s">
        <v>24</v>
      </c>
      <c r="E116" s="66">
        <v>428264</v>
      </c>
      <c r="F116" s="37"/>
      <c r="G116" s="37"/>
      <c r="H116" s="36"/>
      <c r="I116" s="66">
        <v>348876</v>
      </c>
      <c r="J116" s="38"/>
      <c r="K116" s="63">
        <v>11.5</v>
      </c>
      <c r="M116" s="55"/>
    </row>
    <row r="117" spans="3:13">
      <c r="C117">
        <f t="shared" si="1"/>
        <v>1988</v>
      </c>
      <c r="D117" s="1" t="s">
        <v>25</v>
      </c>
      <c r="E117" s="66">
        <v>440716</v>
      </c>
      <c r="F117" s="37"/>
      <c r="G117" s="37"/>
      <c r="H117" s="36"/>
      <c r="I117" s="66">
        <v>362460</v>
      </c>
      <c r="J117" s="38"/>
      <c r="K117" s="63">
        <v>13</v>
      </c>
      <c r="M117" s="55"/>
    </row>
    <row r="118" spans="3:13">
      <c r="C118">
        <f t="shared" si="1"/>
        <v>1988</v>
      </c>
      <c r="D118" s="1" t="s">
        <v>26</v>
      </c>
      <c r="E118" s="66">
        <v>450740</v>
      </c>
      <c r="F118" s="37"/>
      <c r="G118" s="37"/>
      <c r="H118" s="36"/>
      <c r="I118" s="66">
        <v>372548</v>
      </c>
      <c r="J118" s="38"/>
      <c r="K118" s="63">
        <v>13.2</v>
      </c>
      <c r="M118" s="55"/>
    </row>
    <row r="119" spans="3:13">
      <c r="C119">
        <f t="shared" si="1"/>
        <v>1989</v>
      </c>
      <c r="D119" s="1" t="s">
        <v>23</v>
      </c>
      <c r="E119" s="66">
        <v>457824</v>
      </c>
      <c r="F119" s="37"/>
      <c r="G119" s="37"/>
      <c r="H119" s="36"/>
      <c r="I119" s="66">
        <v>379608</v>
      </c>
      <c r="J119" s="38"/>
      <c r="K119" s="63">
        <v>13.5</v>
      </c>
      <c r="M119" s="55"/>
    </row>
    <row r="120" spans="3:13">
      <c r="C120">
        <f t="shared" si="1"/>
        <v>1989</v>
      </c>
      <c r="D120" s="1" t="s">
        <v>24</v>
      </c>
      <c r="E120" s="66">
        <v>466504</v>
      </c>
      <c r="F120" s="37"/>
      <c r="G120" s="37"/>
      <c r="H120" s="36"/>
      <c r="I120" s="66">
        <v>391460</v>
      </c>
      <c r="J120" s="38"/>
      <c r="K120" s="63">
        <v>12.8</v>
      </c>
      <c r="M120" s="55"/>
    </row>
    <row r="121" spans="3:13">
      <c r="C121">
        <f t="shared" si="1"/>
        <v>1989</v>
      </c>
      <c r="D121" s="1" t="s">
        <v>25</v>
      </c>
      <c r="E121" s="66">
        <v>471316</v>
      </c>
      <c r="F121" s="37"/>
      <c r="G121" s="37"/>
      <c r="H121" s="36"/>
      <c r="I121" s="66">
        <v>386860</v>
      </c>
      <c r="J121" s="38"/>
      <c r="K121" s="63">
        <v>12.1</v>
      </c>
      <c r="M121" s="55"/>
    </row>
    <row r="122" spans="3:13">
      <c r="C122">
        <f t="shared" si="1"/>
        <v>1989</v>
      </c>
      <c r="D122" s="1" t="s">
        <v>26</v>
      </c>
      <c r="E122" s="66">
        <v>481240</v>
      </c>
      <c r="F122" s="37"/>
      <c r="G122" s="37"/>
      <c r="H122" s="36"/>
      <c r="I122" s="66">
        <v>391912</v>
      </c>
      <c r="J122" s="38"/>
      <c r="K122" s="63">
        <v>12.2</v>
      </c>
      <c r="M122" s="55"/>
    </row>
    <row r="123" spans="3:13">
      <c r="C123">
        <f t="shared" si="1"/>
        <v>1990</v>
      </c>
      <c r="D123" s="1" t="s">
        <v>23</v>
      </c>
      <c r="E123" s="66">
        <v>492384</v>
      </c>
      <c r="F123" s="37"/>
      <c r="G123" s="37"/>
      <c r="H123" s="36"/>
      <c r="I123" s="66">
        <v>403280</v>
      </c>
      <c r="J123" s="38"/>
      <c r="K123" s="63">
        <v>13.1</v>
      </c>
      <c r="M123" s="55"/>
    </row>
    <row r="124" spans="3:13">
      <c r="C124">
        <f t="shared" si="1"/>
        <v>1990</v>
      </c>
      <c r="D124" s="1" t="s">
        <v>24</v>
      </c>
      <c r="E124" s="66">
        <v>500724</v>
      </c>
      <c r="F124" s="37"/>
      <c r="G124" s="37"/>
      <c r="H124" s="36"/>
      <c r="I124" s="66">
        <v>392652</v>
      </c>
      <c r="J124" s="38"/>
      <c r="K124" s="63">
        <v>11.4</v>
      </c>
      <c r="M124" s="55"/>
    </row>
    <row r="125" spans="3:13">
      <c r="C125">
        <f t="shared" si="1"/>
        <v>1990</v>
      </c>
      <c r="D125" s="1" t="s">
        <v>25</v>
      </c>
      <c r="E125" s="66">
        <v>503036</v>
      </c>
      <c r="F125" s="37"/>
      <c r="G125" s="37"/>
      <c r="H125" s="36"/>
      <c r="I125" s="66">
        <v>404988</v>
      </c>
      <c r="J125" s="38"/>
      <c r="K125" s="63">
        <v>13.1</v>
      </c>
      <c r="M125" s="55"/>
    </row>
    <row r="126" spans="3:13">
      <c r="C126">
        <f t="shared" si="1"/>
        <v>1990</v>
      </c>
      <c r="D126" s="1" t="s">
        <v>26</v>
      </c>
      <c r="E126" s="66">
        <v>504692</v>
      </c>
      <c r="F126" s="37"/>
      <c r="G126" s="37"/>
      <c r="H126" s="36"/>
      <c r="I126" s="66">
        <v>412232</v>
      </c>
      <c r="J126" s="38"/>
      <c r="K126" s="63">
        <v>13.9</v>
      </c>
      <c r="M126" s="55"/>
    </row>
    <row r="127" spans="3:13">
      <c r="C127">
        <f t="shared" si="1"/>
        <v>1991</v>
      </c>
      <c r="D127" s="1" t="s">
        <v>23</v>
      </c>
      <c r="E127" s="66">
        <v>505740</v>
      </c>
      <c r="F127" s="37"/>
      <c r="G127" s="37"/>
      <c r="H127" s="36"/>
      <c r="I127" s="66">
        <v>417232</v>
      </c>
      <c r="J127" s="38"/>
      <c r="K127" s="63">
        <v>14.8</v>
      </c>
      <c r="M127" s="55"/>
    </row>
    <row r="128" spans="3:13">
      <c r="C128">
        <f t="shared" si="1"/>
        <v>1991</v>
      </c>
      <c r="D128" s="1" t="s">
        <v>24</v>
      </c>
      <c r="E128" s="66">
        <v>508456</v>
      </c>
      <c r="F128" s="37"/>
      <c r="G128" s="37"/>
      <c r="H128" s="36"/>
      <c r="I128" s="66">
        <v>412040</v>
      </c>
      <c r="J128" s="38"/>
      <c r="K128" s="63">
        <v>11.6</v>
      </c>
      <c r="M128" s="55"/>
    </row>
    <row r="129" spans="3:13">
      <c r="C129">
        <f t="shared" si="1"/>
        <v>1991</v>
      </c>
      <c r="D129" s="1" t="s">
        <v>25</v>
      </c>
      <c r="E129" s="66">
        <v>511440</v>
      </c>
      <c r="F129" s="37"/>
      <c r="G129" s="37"/>
      <c r="H129" s="36"/>
      <c r="I129" s="66">
        <v>420200</v>
      </c>
      <c r="J129" s="38"/>
      <c r="K129" s="63">
        <v>12.7</v>
      </c>
      <c r="M129" s="55"/>
    </row>
    <row r="130" spans="3:13">
      <c r="C130">
        <f t="shared" si="1"/>
        <v>1991</v>
      </c>
      <c r="D130" s="1" t="s">
        <v>26</v>
      </c>
      <c r="E130" s="66">
        <v>512540</v>
      </c>
      <c r="F130" s="37"/>
      <c r="G130" s="37"/>
      <c r="H130" s="36"/>
      <c r="I130" s="66">
        <v>424068</v>
      </c>
      <c r="J130" s="38"/>
      <c r="K130" s="63">
        <v>13.1</v>
      </c>
      <c r="M130" s="55"/>
    </row>
    <row r="131" spans="3:13">
      <c r="C131">
        <f t="shared" si="1"/>
        <v>1992</v>
      </c>
      <c r="D131" s="1" t="s">
        <v>23</v>
      </c>
      <c r="E131" s="66">
        <v>516208</v>
      </c>
      <c r="F131" s="37"/>
      <c r="G131" s="37"/>
      <c r="H131" s="36"/>
      <c r="I131" s="66">
        <v>419928</v>
      </c>
      <c r="J131" s="38"/>
      <c r="K131" s="63">
        <v>12</v>
      </c>
      <c r="M131" s="55"/>
    </row>
    <row r="132" spans="3:13">
      <c r="C132">
        <f t="shared" si="1"/>
        <v>1992</v>
      </c>
      <c r="D132" s="1" t="s">
        <v>24</v>
      </c>
      <c r="E132" s="66">
        <v>519576</v>
      </c>
      <c r="F132" s="37"/>
      <c r="G132" s="37"/>
      <c r="H132" s="36"/>
      <c r="I132" s="66">
        <v>428816</v>
      </c>
      <c r="J132" s="38"/>
      <c r="K132" s="63">
        <v>13</v>
      </c>
      <c r="M132" s="55"/>
    </row>
    <row r="133" spans="3:13">
      <c r="C133">
        <f t="shared" si="1"/>
        <v>1992</v>
      </c>
      <c r="D133" s="1" t="s">
        <v>25</v>
      </c>
      <c r="E133" s="66">
        <v>521140</v>
      </c>
      <c r="F133" s="37"/>
      <c r="G133" s="37"/>
      <c r="H133" s="36"/>
      <c r="I133" s="66">
        <v>442316</v>
      </c>
      <c r="J133" s="38"/>
      <c r="K133" s="63">
        <v>14.6</v>
      </c>
      <c r="M133" s="55"/>
    </row>
    <row r="134" spans="3:13">
      <c r="C134">
        <f t="shared" si="1"/>
        <v>1992</v>
      </c>
      <c r="D134" s="1" t="s">
        <v>26</v>
      </c>
      <c r="E134" s="66">
        <v>521272</v>
      </c>
      <c r="F134" s="37"/>
      <c r="G134" s="37"/>
      <c r="H134" s="36"/>
      <c r="I134" s="66">
        <v>435524</v>
      </c>
      <c r="J134" s="38"/>
      <c r="K134" s="63">
        <v>12.2</v>
      </c>
      <c r="M134" s="55"/>
    </row>
    <row r="135" spans="3:13">
      <c r="C135">
        <f t="shared" si="1"/>
        <v>1993</v>
      </c>
      <c r="D135" s="1" t="s">
        <v>23</v>
      </c>
      <c r="E135" s="66">
        <v>526664</v>
      </c>
      <c r="F135" s="37"/>
      <c r="G135" s="37"/>
      <c r="H135" s="36"/>
      <c r="I135" s="66">
        <v>439276</v>
      </c>
      <c r="J135" s="38"/>
      <c r="K135" s="63">
        <v>12.3</v>
      </c>
      <c r="M135" s="55"/>
    </row>
    <row r="136" spans="3:13">
      <c r="C136">
        <f t="shared" si="1"/>
        <v>1993</v>
      </c>
      <c r="D136" s="1" t="s">
        <v>24</v>
      </c>
      <c r="E136" s="66">
        <v>529564</v>
      </c>
      <c r="F136" s="37"/>
      <c r="G136" s="37"/>
      <c r="H136" s="36"/>
      <c r="I136" s="66">
        <v>458584</v>
      </c>
      <c r="J136" s="38"/>
      <c r="K136" s="63">
        <v>15.4</v>
      </c>
      <c r="M136" s="55"/>
    </row>
    <row r="137" spans="3:13">
      <c r="C137">
        <f t="shared" si="1"/>
        <v>1993</v>
      </c>
      <c r="D137" s="1" t="s">
        <v>25</v>
      </c>
      <c r="E137" s="66">
        <v>531652</v>
      </c>
      <c r="F137" s="37"/>
      <c r="G137" s="37"/>
      <c r="H137" s="36"/>
      <c r="I137" s="66">
        <v>444704</v>
      </c>
      <c r="J137" s="38"/>
      <c r="K137" s="63">
        <v>11.7</v>
      </c>
      <c r="M137" s="55"/>
    </row>
    <row r="138" spans="3:13">
      <c r="C138">
        <f t="shared" si="1"/>
        <v>1993</v>
      </c>
      <c r="D138" s="1" t="s">
        <v>26</v>
      </c>
      <c r="E138" s="66">
        <v>532876</v>
      </c>
      <c r="F138" s="37"/>
      <c r="G138" s="37"/>
      <c r="H138" s="36"/>
      <c r="I138" s="66">
        <v>442096</v>
      </c>
      <c r="J138" s="38"/>
      <c r="K138" s="63">
        <v>10.4</v>
      </c>
      <c r="M138" s="55"/>
    </row>
    <row r="139" spans="3:13">
      <c r="C139">
        <f t="shared" si="1"/>
        <v>1994</v>
      </c>
      <c r="D139" s="1" t="s">
        <v>23</v>
      </c>
      <c r="E139" s="66">
        <v>534412</v>
      </c>
      <c r="F139" s="37"/>
      <c r="G139" s="37"/>
      <c r="H139" s="36"/>
      <c r="I139" s="66">
        <v>450008</v>
      </c>
      <c r="J139" s="38"/>
      <c r="K139" s="63">
        <v>10.3</v>
      </c>
      <c r="M139" s="55"/>
    </row>
    <row r="140" spans="3:13">
      <c r="C140">
        <f t="shared" ref="C140:C203" si="2">C136+1</f>
        <v>1994</v>
      </c>
      <c r="D140" s="1" t="s">
        <v>24</v>
      </c>
      <c r="E140" s="66">
        <v>541848</v>
      </c>
      <c r="F140" s="37"/>
      <c r="G140" s="37"/>
      <c r="H140" s="36"/>
      <c r="I140" s="66">
        <v>454520</v>
      </c>
      <c r="J140" s="38"/>
      <c r="K140" s="63">
        <v>11</v>
      </c>
      <c r="M140" s="55"/>
    </row>
    <row r="141" spans="3:13">
      <c r="C141">
        <f t="shared" si="2"/>
        <v>1994</v>
      </c>
      <c r="D141" s="1" t="s">
        <v>25</v>
      </c>
      <c r="E141" s="66">
        <v>549388</v>
      </c>
      <c r="F141" s="37"/>
      <c r="G141" s="37"/>
      <c r="H141" s="36"/>
      <c r="I141" s="66">
        <v>454144</v>
      </c>
      <c r="J141" s="38"/>
      <c r="K141" s="63">
        <v>10</v>
      </c>
      <c r="M141" s="55"/>
    </row>
    <row r="142" spans="3:13">
      <c r="C142">
        <f t="shared" si="2"/>
        <v>1994</v>
      </c>
      <c r="D142" s="1" t="s">
        <v>26</v>
      </c>
      <c r="E142" s="66">
        <v>554564</v>
      </c>
      <c r="F142" s="37"/>
      <c r="G142" s="37"/>
      <c r="H142" s="36"/>
      <c r="I142" s="66">
        <v>459636</v>
      </c>
      <c r="J142" s="38"/>
      <c r="K142" s="63">
        <v>9.6</v>
      </c>
      <c r="M142" s="55"/>
    </row>
    <row r="143" spans="3:13">
      <c r="C143">
        <f t="shared" si="2"/>
        <v>1995</v>
      </c>
      <c r="D143" s="1" t="s">
        <v>23</v>
      </c>
      <c r="E143" s="66">
        <v>559592</v>
      </c>
      <c r="F143" s="37"/>
      <c r="G143" s="37"/>
      <c r="H143" s="36"/>
      <c r="I143" s="66">
        <v>461916</v>
      </c>
      <c r="J143" s="38"/>
      <c r="K143" s="63">
        <v>10</v>
      </c>
      <c r="M143" s="55"/>
    </row>
    <row r="144" spans="3:13">
      <c r="C144">
        <f t="shared" si="2"/>
        <v>1995</v>
      </c>
      <c r="D144" s="1" t="s">
        <v>24</v>
      </c>
      <c r="E144" s="66">
        <v>565092</v>
      </c>
      <c r="F144" s="37"/>
      <c r="G144" s="37"/>
      <c r="H144" s="36"/>
      <c r="I144" s="66">
        <v>465884</v>
      </c>
      <c r="J144" s="38"/>
      <c r="K144" s="63">
        <v>9.8000000000000007</v>
      </c>
      <c r="M144" s="55"/>
    </row>
    <row r="145" spans="3:13">
      <c r="C145">
        <f t="shared" si="2"/>
        <v>1995</v>
      </c>
      <c r="D145" s="1" t="s">
        <v>25</v>
      </c>
      <c r="E145" s="66">
        <v>570392</v>
      </c>
      <c r="F145" s="37"/>
      <c r="G145" s="37"/>
      <c r="H145" s="36"/>
      <c r="I145" s="66">
        <v>465836</v>
      </c>
      <c r="J145" s="38"/>
      <c r="K145" s="63">
        <v>8.6999999999999993</v>
      </c>
      <c r="M145" s="55"/>
    </row>
    <row r="146" spans="3:13">
      <c r="C146">
        <f t="shared" si="2"/>
        <v>1995</v>
      </c>
      <c r="D146" s="1" t="s">
        <v>26</v>
      </c>
      <c r="E146" s="66">
        <v>572620</v>
      </c>
      <c r="F146" s="37"/>
      <c r="G146" s="37"/>
      <c r="H146" s="36"/>
      <c r="I146" s="66">
        <v>469072</v>
      </c>
      <c r="J146" s="38"/>
      <c r="K146" s="63">
        <v>8.9</v>
      </c>
      <c r="M146" s="55"/>
    </row>
    <row r="147" spans="3:13">
      <c r="C147">
        <f t="shared" si="2"/>
        <v>1996</v>
      </c>
      <c r="D147" s="1" t="s">
        <v>23</v>
      </c>
      <c r="E147" s="66">
        <v>575172</v>
      </c>
      <c r="F147" s="37"/>
      <c r="G147" s="37"/>
      <c r="H147" s="36"/>
      <c r="I147" s="66">
        <v>472160</v>
      </c>
      <c r="J147" s="38"/>
      <c r="K147" s="63">
        <v>7.6</v>
      </c>
      <c r="M147" s="55"/>
    </row>
    <row r="148" spans="3:13">
      <c r="C148">
        <f t="shared" si="2"/>
        <v>1996</v>
      </c>
      <c r="D148" s="1" t="s">
        <v>24</v>
      </c>
      <c r="E148" s="66">
        <v>578788</v>
      </c>
      <c r="F148" s="37"/>
      <c r="G148" s="37"/>
      <c r="H148" s="36"/>
      <c r="I148" s="66">
        <v>473700</v>
      </c>
      <c r="J148" s="38"/>
      <c r="K148" s="63">
        <v>7.2</v>
      </c>
      <c r="M148" s="55"/>
    </row>
    <row r="149" spans="3:13">
      <c r="C149">
        <f t="shared" si="2"/>
        <v>1996</v>
      </c>
      <c r="D149" s="1" t="s">
        <v>25</v>
      </c>
      <c r="E149" s="66">
        <v>584996</v>
      </c>
      <c r="F149" s="37"/>
      <c r="G149" s="37"/>
      <c r="H149" s="36"/>
      <c r="I149" s="66">
        <v>475332</v>
      </c>
      <c r="J149" s="38"/>
      <c r="K149" s="63">
        <v>6.9</v>
      </c>
      <c r="M149" s="55"/>
    </row>
    <row r="150" spans="3:13">
      <c r="C150">
        <f t="shared" si="2"/>
        <v>1996</v>
      </c>
      <c r="D150" s="1" t="s">
        <v>26</v>
      </c>
      <c r="E150" s="66">
        <v>593116</v>
      </c>
      <c r="F150" s="37"/>
      <c r="G150" s="37"/>
      <c r="H150" s="36"/>
      <c r="I150" s="66">
        <v>480920</v>
      </c>
      <c r="J150" s="38"/>
      <c r="K150" s="63">
        <v>5.6</v>
      </c>
      <c r="M150" s="55"/>
    </row>
    <row r="151" spans="3:13">
      <c r="C151">
        <f t="shared" si="2"/>
        <v>1997</v>
      </c>
      <c r="D151" s="1" t="s">
        <v>23</v>
      </c>
      <c r="E151" s="66">
        <v>600008</v>
      </c>
      <c r="F151" s="37"/>
      <c r="G151" s="37"/>
      <c r="H151" s="36"/>
      <c r="I151" s="66">
        <v>485296</v>
      </c>
      <c r="J151" s="38"/>
      <c r="K151" s="63">
        <v>4.5</v>
      </c>
      <c r="M151" s="55"/>
    </row>
    <row r="152" spans="3:13">
      <c r="C152">
        <f t="shared" si="2"/>
        <v>1997</v>
      </c>
      <c r="D152" s="1" t="s">
        <v>24</v>
      </c>
      <c r="E152" s="66">
        <v>609104</v>
      </c>
      <c r="F152" s="37"/>
      <c r="G152" s="37"/>
      <c r="H152" s="36"/>
      <c r="I152" s="66">
        <v>487336</v>
      </c>
      <c r="J152" s="38"/>
      <c r="K152" s="63">
        <v>4.3</v>
      </c>
      <c r="M152" s="55"/>
    </row>
    <row r="153" spans="3:13">
      <c r="C153">
        <f t="shared" si="2"/>
        <v>1997</v>
      </c>
      <c r="D153" s="1" t="s">
        <v>25</v>
      </c>
      <c r="E153" s="66">
        <v>619848</v>
      </c>
      <c r="F153" s="37"/>
      <c r="G153" s="37"/>
      <c r="H153" s="36"/>
      <c r="I153" s="66">
        <v>501280</v>
      </c>
      <c r="J153" s="38"/>
      <c r="K153" s="63">
        <v>4.9000000000000004</v>
      </c>
      <c r="M153" s="55"/>
    </row>
    <row r="154" spans="3:13">
      <c r="C154">
        <f t="shared" si="2"/>
        <v>1997</v>
      </c>
      <c r="D154" s="1" t="s">
        <v>26</v>
      </c>
      <c r="E154" s="66">
        <v>622780</v>
      </c>
      <c r="F154" s="37"/>
      <c r="G154" s="37"/>
      <c r="H154" s="36"/>
      <c r="I154" s="66">
        <v>505812</v>
      </c>
      <c r="J154" s="38"/>
      <c r="K154" s="63">
        <v>3.7</v>
      </c>
      <c r="M154" s="55"/>
    </row>
    <row r="155" spans="3:13">
      <c r="C155">
        <f t="shared" si="2"/>
        <v>1998</v>
      </c>
      <c r="D155" s="1" t="s">
        <v>23</v>
      </c>
      <c r="E155" s="66">
        <v>632556</v>
      </c>
      <c r="F155" s="37"/>
      <c r="G155" s="37"/>
      <c r="H155" s="36"/>
      <c r="I155" s="66">
        <v>508368</v>
      </c>
      <c r="J155" s="38"/>
      <c r="K155" s="63">
        <v>4.9000000000000004</v>
      </c>
      <c r="M155" s="55"/>
    </row>
    <row r="156" spans="3:13">
      <c r="C156">
        <f t="shared" si="2"/>
        <v>1998</v>
      </c>
      <c r="D156" s="1" t="s">
        <v>24</v>
      </c>
      <c r="E156" s="66">
        <v>641332</v>
      </c>
      <c r="F156" s="37"/>
      <c r="G156" s="37"/>
      <c r="H156" s="36"/>
      <c r="I156" s="66">
        <v>510620</v>
      </c>
      <c r="J156" s="38"/>
      <c r="K156" s="63">
        <v>3.6</v>
      </c>
      <c r="M156" s="55"/>
    </row>
    <row r="157" spans="3:13">
      <c r="C157">
        <f t="shared" si="2"/>
        <v>1998</v>
      </c>
      <c r="D157" s="1" t="s">
        <v>25</v>
      </c>
      <c r="E157" s="66">
        <v>645372</v>
      </c>
      <c r="F157" s="37"/>
      <c r="G157" s="37"/>
      <c r="H157" s="36"/>
      <c r="I157" s="66">
        <v>523392</v>
      </c>
      <c r="J157" s="38"/>
      <c r="K157" s="63">
        <v>4.5999999999999996</v>
      </c>
      <c r="M157" s="55"/>
    </row>
    <row r="158" spans="3:13">
      <c r="C158">
        <f t="shared" si="2"/>
        <v>1998</v>
      </c>
      <c r="D158" s="1" t="s">
        <v>26</v>
      </c>
      <c r="E158" s="66">
        <v>656424</v>
      </c>
      <c r="F158" s="37"/>
      <c r="G158" s="37"/>
      <c r="H158" s="36"/>
      <c r="I158" s="66">
        <v>531968</v>
      </c>
      <c r="J158" s="38"/>
      <c r="K158" s="63">
        <v>5.5</v>
      </c>
      <c r="M158" s="55"/>
    </row>
    <row r="159" spans="3:13">
      <c r="C159">
        <f t="shared" si="2"/>
        <v>1999</v>
      </c>
      <c r="D159" s="1" t="s">
        <v>23</v>
      </c>
      <c r="E159" s="66">
        <v>662628</v>
      </c>
      <c r="F159" s="37"/>
      <c r="G159" s="37"/>
      <c r="H159" s="36"/>
      <c r="I159" s="66">
        <v>534304</v>
      </c>
      <c r="J159" s="38"/>
      <c r="K159" s="63">
        <v>4.5</v>
      </c>
      <c r="M159" s="55"/>
    </row>
    <row r="160" spans="3:13">
      <c r="C160">
        <f t="shared" si="2"/>
        <v>1999</v>
      </c>
      <c r="D160" s="1" t="s">
        <v>24</v>
      </c>
      <c r="E160" s="66">
        <v>675492</v>
      </c>
      <c r="F160" s="37"/>
      <c r="G160" s="37"/>
      <c r="H160" s="36"/>
      <c r="I160" s="66">
        <v>543140</v>
      </c>
      <c r="J160" s="38"/>
      <c r="K160" s="63">
        <v>5</v>
      </c>
      <c r="M160" s="55"/>
    </row>
    <row r="161" spans="3:13">
      <c r="C161">
        <f t="shared" si="2"/>
        <v>1999</v>
      </c>
      <c r="D161" s="1" t="s">
        <v>25</v>
      </c>
      <c r="E161" s="66">
        <v>685880</v>
      </c>
      <c r="F161" s="37"/>
      <c r="G161" s="37"/>
      <c r="H161" s="36"/>
      <c r="I161" s="66">
        <v>550512</v>
      </c>
      <c r="J161" s="38"/>
      <c r="K161" s="63">
        <v>4.5999999999999996</v>
      </c>
      <c r="M161" s="55"/>
    </row>
    <row r="162" spans="3:13">
      <c r="C162">
        <f t="shared" si="2"/>
        <v>1999</v>
      </c>
      <c r="D162" s="1" t="s">
        <v>26</v>
      </c>
      <c r="E162" s="66">
        <v>696040</v>
      </c>
      <c r="F162" s="37"/>
      <c r="G162" s="37"/>
      <c r="H162" s="36"/>
      <c r="I162" s="66">
        <v>557084</v>
      </c>
      <c r="J162" s="38"/>
      <c r="K162" s="63">
        <v>4.2</v>
      </c>
      <c r="M162" s="55"/>
    </row>
    <row r="163" spans="3:13">
      <c r="C163">
        <f t="shared" si="2"/>
        <v>2000</v>
      </c>
      <c r="D163" s="1" t="s">
        <v>23</v>
      </c>
      <c r="E163" s="66">
        <v>709776</v>
      </c>
      <c r="F163" s="37"/>
      <c r="G163" s="37"/>
      <c r="H163" s="36"/>
      <c r="I163" s="66">
        <v>563668</v>
      </c>
      <c r="J163" s="38"/>
      <c r="K163" s="63">
        <v>4.5999999999999996</v>
      </c>
      <c r="M163" s="55"/>
    </row>
    <row r="164" spans="3:13">
      <c r="C164">
        <f t="shared" si="2"/>
        <v>2000</v>
      </c>
      <c r="D164" s="1" t="s">
        <v>24</v>
      </c>
      <c r="E164" s="66">
        <v>726424</v>
      </c>
      <c r="F164" s="37"/>
      <c r="G164" s="37"/>
      <c r="H164" s="36"/>
      <c r="I164" s="66">
        <v>573208</v>
      </c>
      <c r="J164" s="38"/>
      <c r="K164" s="63">
        <v>4.5999999999999996</v>
      </c>
      <c r="M164" s="55"/>
    </row>
    <row r="165" spans="3:13">
      <c r="C165">
        <f t="shared" si="2"/>
        <v>2000</v>
      </c>
      <c r="D165" s="1" t="s">
        <v>25</v>
      </c>
      <c r="E165" s="66">
        <v>738536</v>
      </c>
      <c r="F165" s="37"/>
      <c r="G165" s="37"/>
      <c r="H165" s="36"/>
      <c r="I165" s="66">
        <v>586036</v>
      </c>
      <c r="J165" s="38"/>
      <c r="K165" s="63">
        <v>4.7</v>
      </c>
      <c r="M165" s="55"/>
    </row>
    <row r="166" spans="3:13">
      <c r="C166">
        <f t="shared" si="2"/>
        <v>2000</v>
      </c>
      <c r="D166" s="1" t="s">
        <v>26</v>
      </c>
      <c r="E166" s="66">
        <v>745048</v>
      </c>
      <c r="F166" s="37"/>
      <c r="G166" s="37"/>
      <c r="H166" s="36"/>
      <c r="I166" s="66">
        <v>595804</v>
      </c>
      <c r="J166" s="38"/>
      <c r="K166" s="63">
        <v>5.8</v>
      </c>
      <c r="M166" s="55"/>
    </row>
    <row r="167" spans="3:13">
      <c r="C167">
        <f t="shared" si="2"/>
        <v>2001</v>
      </c>
      <c r="D167" s="1" t="s">
        <v>23</v>
      </c>
      <c r="E167" s="66">
        <v>751372</v>
      </c>
      <c r="F167" s="37"/>
      <c r="G167" s="37"/>
      <c r="H167" s="36"/>
      <c r="I167" s="66">
        <v>614560</v>
      </c>
      <c r="J167" s="38"/>
      <c r="K167" s="63">
        <v>6.5</v>
      </c>
      <c r="M167" s="55"/>
    </row>
    <row r="168" spans="3:13">
      <c r="C168">
        <f t="shared" si="2"/>
        <v>2001</v>
      </c>
      <c r="D168" s="1" t="s">
        <v>24</v>
      </c>
      <c r="E168" s="66">
        <v>756596</v>
      </c>
      <c r="F168" s="37"/>
      <c r="G168" s="37"/>
      <c r="H168" s="36"/>
      <c r="I168" s="66">
        <v>602796</v>
      </c>
      <c r="J168" s="38"/>
      <c r="K168" s="63">
        <v>2.9</v>
      </c>
      <c r="M168" s="55"/>
    </row>
    <row r="169" spans="3:13">
      <c r="C169">
        <f t="shared" si="2"/>
        <v>2001</v>
      </c>
      <c r="D169" s="1" t="s">
        <v>25</v>
      </c>
      <c r="E169" s="66">
        <v>758404</v>
      </c>
      <c r="F169" s="37"/>
      <c r="G169" s="37"/>
      <c r="H169" s="36"/>
      <c r="I169" s="66">
        <v>619000</v>
      </c>
      <c r="J169" s="38"/>
      <c r="K169" s="63">
        <v>4.8</v>
      </c>
      <c r="M169" s="55"/>
    </row>
    <row r="170" spans="3:13">
      <c r="C170">
        <f t="shared" si="2"/>
        <v>2001</v>
      </c>
      <c r="D170" s="1" t="s">
        <v>26</v>
      </c>
      <c r="E170" s="66">
        <v>764236</v>
      </c>
      <c r="F170" s="37"/>
      <c r="G170" s="37"/>
      <c r="H170" s="36"/>
      <c r="I170" s="66">
        <v>624784</v>
      </c>
      <c r="J170" s="38"/>
      <c r="K170" s="63">
        <v>5.0999999999999996</v>
      </c>
      <c r="M170" s="55"/>
    </row>
    <row r="171" spans="3:13">
      <c r="C171">
        <f t="shared" si="2"/>
        <v>2002</v>
      </c>
      <c r="D171" s="1" t="s">
        <v>23</v>
      </c>
      <c r="E171" s="66">
        <v>770708</v>
      </c>
      <c r="F171" s="37"/>
      <c r="G171" s="37"/>
      <c r="H171" s="36"/>
      <c r="I171" s="66">
        <v>634372</v>
      </c>
      <c r="J171" s="38"/>
      <c r="K171" s="63">
        <v>5.2</v>
      </c>
      <c r="M171" s="55"/>
    </row>
    <row r="172" spans="3:13">
      <c r="C172">
        <f t="shared" si="2"/>
        <v>2002</v>
      </c>
      <c r="D172" s="1" t="s">
        <v>24</v>
      </c>
      <c r="E172" s="66">
        <v>774416</v>
      </c>
      <c r="F172" s="37"/>
      <c r="G172" s="37"/>
      <c r="H172" s="36"/>
      <c r="I172" s="66">
        <v>635996</v>
      </c>
      <c r="J172" s="38"/>
      <c r="K172" s="63">
        <v>2.5</v>
      </c>
      <c r="M172" s="55"/>
    </row>
    <row r="173" spans="3:13">
      <c r="C173">
        <f t="shared" si="2"/>
        <v>2002</v>
      </c>
      <c r="D173" s="1" t="s">
        <v>25</v>
      </c>
      <c r="E173" s="66">
        <v>783084</v>
      </c>
      <c r="F173" s="37"/>
      <c r="G173" s="37"/>
      <c r="H173" s="36"/>
      <c r="I173" s="66">
        <v>647156</v>
      </c>
      <c r="J173" s="38"/>
      <c r="K173" s="63">
        <v>2.7</v>
      </c>
      <c r="M173" s="55"/>
    </row>
    <row r="174" spans="3:13">
      <c r="C174">
        <f t="shared" si="2"/>
        <v>2002</v>
      </c>
      <c r="D174" s="1" t="s">
        <v>26</v>
      </c>
      <c r="E174" s="66">
        <v>794088</v>
      </c>
      <c r="F174" s="37"/>
      <c r="G174" s="37"/>
      <c r="H174" s="36"/>
      <c r="I174" s="66">
        <v>652804</v>
      </c>
      <c r="J174" s="38"/>
      <c r="K174" s="63">
        <v>2.4</v>
      </c>
      <c r="M174" s="55"/>
    </row>
    <row r="175" spans="3:13">
      <c r="C175">
        <f t="shared" si="2"/>
        <v>2003</v>
      </c>
      <c r="D175" s="1" t="s">
        <v>23</v>
      </c>
      <c r="E175" s="66">
        <v>797588</v>
      </c>
      <c r="F175" s="37"/>
      <c r="G175" s="37"/>
      <c r="H175" s="36"/>
      <c r="I175" s="66">
        <v>663028</v>
      </c>
      <c r="J175" s="38"/>
      <c r="K175" s="63">
        <v>2.5</v>
      </c>
      <c r="M175" s="55"/>
    </row>
    <row r="176" spans="3:13">
      <c r="C176">
        <f t="shared" si="2"/>
        <v>2003</v>
      </c>
      <c r="D176" s="1" t="s">
        <v>24</v>
      </c>
      <c r="E176" s="66">
        <v>801332</v>
      </c>
      <c r="F176" s="37"/>
      <c r="G176" s="37"/>
      <c r="H176" s="36"/>
      <c r="I176" s="66">
        <v>659340</v>
      </c>
      <c r="J176" s="38"/>
      <c r="K176" s="63">
        <v>3</v>
      </c>
      <c r="M176" s="55"/>
    </row>
    <row r="177" spans="3:13">
      <c r="C177">
        <f t="shared" si="2"/>
        <v>2003</v>
      </c>
      <c r="D177" s="1" t="s">
        <v>25</v>
      </c>
      <c r="E177" s="66">
        <v>808964</v>
      </c>
      <c r="F177" s="37"/>
      <c r="G177" s="37"/>
      <c r="H177" s="36"/>
      <c r="I177" s="66">
        <v>661492</v>
      </c>
      <c r="J177" s="38"/>
      <c r="K177" s="63">
        <v>1.2</v>
      </c>
      <c r="M177" s="55"/>
    </row>
    <row r="178" spans="3:13">
      <c r="C178">
        <f t="shared" si="2"/>
        <v>2003</v>
      </c>
      <c r="D178" s="1" t="s">
        <v>26</v>
      </c>
      <c r="E178" s="66">
        <v>819024</v>
      </c>
      <c r="F178" s="37"/>
      <c r="G178" s="37"/>
      <c r="H178" s="36"/>
      <c r="I178" s="66">
        <v>669092</v>
      </c>
      <c r="J178" s="38"/>
      <c r="K178" s="63">
        <v>2</v>
      </c>
      <c r="M178" s="55"/>
    </row>
    <row r="179" spans="3:13">
      <c r="C179">
        <f t="shared" si="2"/>
        <v>2004</v>
      </c>
      <c r="D179" s="1" t="s">
        <v>23</v>
      </c>
      <c r="E179" s="66">
        <v>833664</v>
      </c>
      <c r="F179" s="37"/>
      <c r="G179" s="37"/>
      <c r="H179" s="36"/>
      <c r="I179" s="66">
        <v>678048</v>
      </c>
      <c r="J179" s="38"/>
      <c r="K179" s="63">
        <v>1.8</v>
      </c>
      <c r="M179" s="55"/>
    </row>
    <row r="180" spans="3:13">
      <c r="C180">
        <f t="shared" si="2"/>
        <v>2004</v>
      </c>
      <c r="D180" s="1" t="s">
        <v>24</v>
      </c>
      <c r="E180" s="66">
        <v>846844</v>
      </c>
      <c r="F180" s="37"/>
      <c r="G180" s="37"/>
      <c r="H180" s="36"/>
      <c r="I180" s="66">
        <v>694356</v>
      </c>
      <c r="J180" s="38"/>
      <c r="K180" s="63">
        <v>2.9</v>
      </c>
      <c r="M180" s="55"/>
    </row>
    <row r="181" spans="3:13">
      <c r="C181">
        <f t="shared" si="2"/>
        <v>2004</v>
      </c>
      <c r="D181" s="1" t="s">
        <v>25</v>
      </c>
      <c r="E181" s="66">
        <v>859336</v>
      </c>
      <c r="F181" s="37"/>
      <c r="G181" s="37"/>
      <c r="H181" s="36"/>
      <c r="I181" s="66">
        <v>702448</v>
      </c>
      <c r="J181" s="38"/>
      <c r="K181" s="63">
        <v>2.6</v>
      </c>
      <c r="M181" s="55"/>
    </row>
    <row r="182" spans="3:13">
      <c r="C182">
        <f t="shared" si="2"/>
        <v>2004</v>
      </c>
      <c r="D182" s="1" t="s">
        <v>26</v>
      </c>
      <c r="E182" s="66">
        <v>866188</v>
      </c>
      <c r="F182" s="37"/>
      <c r="G182" s="37"/>
      <c r="H182" s="36"/>
      <c r="I182" s="66">
        <v>706096</v>
      </c>
      <c r="J182" s="38"/>
      <c r="K182" s="63">
        <v>2.7</v>
      </c>
      <c r="M182" s="55"/>
    </row>
    <row r="183" spans="3:13">
      <c r="C183">
        <f t="shared" si="2"/>
        <v>2005</v>
      </c>
      <c r="D183" s="1" t="s">
        <v>23</v>
      </c>
      <c r="E183" s="66">
        <v>876536</v>
      </c>
      <c r="F183" s="37"/>
      <c r="G183" s="37"/>
      <c r="H183" s="36"/>
      <c r="I183" s="66">
        <v>703856</v>
      </c>
      <c r="J183" s="38"/>
      <c r="K183" s="63">
        <v>0.4</v>
      </c>
      <c r="M183" s="55"/>
    </row>
    <row r="184" spans="3:13">
      <c r="C184">
        <f t="shared" si="2"/>
        <v>2005</v>
      </c>
      <c r="D184" s="1" t="s">
        <v>24</v>
      </c>
      <c r="E184" s="66">
        <v>892136</v>
      </c>
      <c r="F184" s="37"/>
      <c r="G184" s="37"/>
      <c r="H184" s="36"/>
      <c r="I184" s="66">
        <v>719692</v>
      </c>
      <c r="J184" s="38"/>
      <c r="K184" s="63">
        <v>1.3</v>
      </c>
      <c r="M184" s="55"/>
    </row>
    <row r="185" spans="3:13">
      <c r="C185">
        <f t="shared" si="2"/>
        <v>2005</v>
      </c>
      <c r="D185" s="1" t="s">
        <v>25</v>
      </c>
      <c r="E185" s="66">
        <v>906040</v>
      </c>
      <c r="F185" s="37"/>
      <c r="G185" s="37"/>
      <c r="H185" s="36"/>
      <c r="I185" s="66">
        <v>724884</v>
      </c>
      <c r="J185" s="38"/>
      <c r="K185" s="63">
        <v>2.1</v>
      </c>
      <c r="M185" s="55"/>
    </row>
    <row r="186" spans="3:13">
      <c r="C186">
        <f t="shared" si="2"/>
        <v>2005</v>
      </c>
      <c r="D186" s="1" t="s">
        <v>26</v>
      </c>
      <c r="E186" s="66">
        <v>917016</v>
      </c>
      <c r="F186" s="37"/>
      <c r="G186" s="37"/>
      <c r="H186" s="36"/>
      <c r="I186" s="66">
        <v>737612</v>
      </c>
      <c r="J186" s="38"/>
      <c r="K186" s="63">
        <v>2.1</v>
      </c>
      <c r="M186" s="55"/>
    </row>
    <row r="187" spans="3:13">
      <c r="C187">
        <f t="shared" si="2"/>
        <v>2006</v>
      </c>
      <c r="D187" s="1" t="s">
        <v>23</v>
      </c>
      <c r="E187" s="66">
        <v>931308</v>
      </c>
      <c r="F187" s="37"/>
      <c r="G187" s="37"/>
      <c r="H187" s="36"/>
      <c r="I187" s="66">
        <v>759840</v>
      </c>
      <c r="J187" s="38"/>
      <c r="K187" s="63">
        <v>3.1</v>
      </c>
      <c r="M187" s="55"/>
    </row>
    <row r="188" spans="3:13">
      <c r="C188">
        <f t="shared" si="2"/>
        <v>2006</v>
      </c>
      <c r="D188" s="1" t="s">
        <v>24</v>
      </c>
      <c r="E188" s="66">
        <v>942296</v>
      </c>
      <c r="F188" s="37"/>
      <c r="G188" s="37"/>
      <c r="H188" s="36"/>
      <c r="I188" s="66">
        <v>760588</v>
      </c>
      <c r="J188" s="38"/>
      <c r="K188" s="63">
        <v>1.3</v>
      </c>
      <c r="M188" s="55"/>
    </row>
    <row r="189" spans="3:13">
      <c r="C189">
        <f t="shared" si="2"/>
        <v>2006</v>
      </c>
      <c r="D189" s="1" t="s">
        <v>25</v>
      </c>
      <c r="E189" s="66">
        <v>960904</v>
      </c>
      <c r="F189" s="37"/>
      <c r="G189" s="37"/>
      <c r="H189" s="36"/>
      <c r="I189" s="66">
        <v>781244</v>
      </c>
      <c r="J189" s="38"/>
      <c r="K189" s="63">
        <v>2.8</v>
      </c>
      <c r="M189" s="55"/>
    </row>
    <row r="190" spans="3:13">
      <c r="C190">
        <f t="shared" si="2"/>
        <v>2006</v>
      </c>
      <c r="D190" s="1" t="s">
        <v>26</v>
      </c>
      <c r="E190" s="66">
        <v>976680</v>
      </c>
      <c r="F190" s="37"/>
      <c r="G190" s="37"/>
      <c r="H190" s="36"/>
      <c r="I190" s="66">
        <v>795824</v>
      </c>
      <c r="J190" s="38"/>
      <c r="K190" s="63">
        <v>3.5</v>
      </c>
      <c r="M190" s="55"/>
    </row>
    <row r="191" spans="3:13">
      <c r="C191">
        <f t="shared" si="2"/>
        <v>2007</v>
      </c>
      <c r="D191" s="1" t="s">
        <v>23</v>
      </c>
      <c r="E191" s="66">
        <v>993676</v>
      </c>
      <c r="F191" s="37"/>
      <c r="G191" s="37"/>
      <c r="H191" s="36"/>
      <c r="I191" s="66">
        <v>812260</v>
      </c>
      <c r="J191" s="38"/>
      <c r="K191" s="63">
        <v>4.5</v>
      </c>
      <c r="M191" s="55"/>
    </row>
    <row r="192" spans="3:13">
      <c r="C192">
        <f t="shared" si="2"/>
        <v>2007</v>
      </c>
      <c r="D192" s="1" t="s">
        <v>24</v>
      </c>
      <c r="E192" s="66">
        <v>1015544</v>
      </c>
      <c r="F192" s="37"/>
      <c r="G192" s="37"/>
      <c r="H192" s="36"/>
      <c r="I192" s="66">
        <v>810396</v>
      </c>
      <c r="J192" s="38"/>
      <c r="K192" s="63">
        <v>1.7</v>
      </c>
      <c r="M192" s="55"/>
    </row>
    <row r="193" spans="3:13">
      <c r="C193">
        <f t="shared" si="2"/>
        <v>2007</v>
      </c>
      <c r="D193" s="1" t="s">
        <v>25</v>
      </c>
      <c r="E193" s="66">
        <v>1018180</v>
      </c>
      <c r="F193" s="37"/>
      <c r="G193" s="37"/>
      <c r="H193" s="36"/>
      <c r="I193" s="66">
        <v>814508</v>
      </c>
      <c r="J193" s="38"/>
      <c r="K193" s="63">
        <v>1.3</v>
      </c>
      <c r="M193" s="55"/>
    </row>
    <row r="194" spans="3:13">
      <c r="C194">
        <f t="shared" si="2"/>
        <v>2007</v>
      </c>
      <c r="D194" s="1" t="s">
        <v>26</v>
      </c>
      <c r="E194" s="66">
        <v>1027636</v>
      </c>
      <c r="F194" s="37"/>
      <c r="G194" s="37"/>
      <c r="H194" s="36"/>
      <c r="I194" s="66">
        <v>828116</v>
      </c>
      <c r="J194" s="38"/>
      <c r="K194" s="63">
        <v>1.1000000000000001</v>
      </c>
      <c r="M194" s="55"/>
    </row>
    <row r="195" spans="3:13">
      <c r="C195">
        <f t="shared" si="2"/>
        <v>2008</v>
      </c>
      <c r="D195" s="1" t="s">
        <v>23</v>
      </c>
      <c r="E195" s="66">
        <v>1049244</v>
      </c>
      <c r="F195" s="37"/>
      <c r="G195" s="37"/>
      <c r="H195" s="36"/>
      <c r="I195" s="66">
        <v>843608</v>
      </c>
      <c r="J195" s="38"/>
      <c r="K195" s="63">
        <v>2.5</v>
      </c>
      <c r="M195" s="55"/>
    </row>
    <row r="196" spans="3:13">
      <c r="C196">
        <f t="shared" si="2"/>
        <v>2008</v>
      </c>
      <c r="D196" s="1" t="s">
        <v>24</v>
      </c>
      <c r="E196" s="66">
        <v>1057872</v>
      </c>
      <c r="F196" s="37"/>
      <c r="G196" s="37"/>
      <c r="H196" s="36"/>
      <c r="I196" s="66">
        <v>858020</v>
      </c>
      <c r="J196" s="38"/>
      <c r="K196" s="63">
        <v>3</v>
      </c>
      <c r="M196" s="55"/>
    </row>
    <row r="197" spans="3:13">
      <c r="C197">
        <f t="shared" si="2"/>
        <v>2008</v>
      </c>
      <c r="D197" s="1" t="s">
        <v>25</v>
      </c>
      <c r="E197" s="66">
        <v>1064084</v>
      </c>
      <c r="F197" s="37"/>
      <c r="G197" s="37"/>
      <c r="H197" s="36"/>
      <c r="I197" s="66">
        <v>874716</v>
      </c>
      <c r="J197" s="38"/>
      <c r="K197" s="63">
        <v>3.1</v>
      </c>
      <c r="M197" s="55"/>
    </row>
    <row r="198" spans="3:13">
      <c r="C198">
        <f t="shared" si="2"/>
        <v>2008</v>
      </c>
      <c r="D198" s="1" t="s">
        <v>26</v>
      </c>
      <c r="E198" s="66">
        <v>1061268</v>
      </c>
      <c r="F198" s="37"/>
      <c r="G198" s="37"/>
      <c r="H198" s="36"/>
      <c r="I198" s="66">
        <v>873268</v>
      </c>
      <c r="J198" s="38"/>
      <c r="K198" s="63">
        <v>5</v>
      </c>
      <c r="M198" s="55"/>
    </row>
    <row r="199" spans="3:13">
      <c r="C199">
        <f t="shared" si="2"/>
        <v>2009</v>
      </c>
      <c r="D199" s="1" t="s">
        <v>23</v>
      </c>
      <c r="E199" s="66">
        <v>1051428</v>
      </c>
      <c r="F199" s="37"/>
      <c r="G199" s="37"/>
      <c r="H199" s="36"/>
      <c r="I199" s="66">
        <v>869928</v>
      </c>
      <c r="J199" s="38"/>
      <c r="K199" s="63">
        <v>4.5999999999999996</v>
      </c>
      <c r="M199" s="55"/>
    </row>
    <row r="200" spans="3:13">
      <c r="C200">
        <f t="shared" si="2"/>
        <v>2009</v>
      </c>
      <c r="D200" s="1" t="s">
        <v>24</v>
      </c>
      <c r="E200" s="66">
        <v>1047560</v>
      </c>
      <c r="F200" s="37"/>
      <c r="G200" s="37"/>
      <c r="H200" s="36"/>
      <c r="I200" s="66">
        <v>874224</v>
      </c>
      <c r="J200" s="38"/>
      <c r="K200" s="63">
        <v>4.8</v>
      </c>
      <c r="M200" s="55"/>
    </row>
    <row r="201" spans="3:13">
      <c r="C201">
        <f t="shared" si="2"/>
        <v>2009</v>
      </c>
      <c r="D201" s="1" t="s">
        <v>25</v>
      </c>
      <c r="E201" s="66">
        <v>1050288</v>
      </c>
      <c r="F201" s="37"/>
      <c r="G201" s="37"/>
      <c r="H201" s="36"/>
      <c r="I201" s="66">
        <v>891036</v>
      </c>
      <c r="J201" s="38"/>
      <c r="K201" s="63">
        <v>4.8</v>
      </c>
      <c r="M201" s="55"/>
    </row>
    <row r="202" spans="3:13">
      <c r="C202">
        <f t="shared" si="2"/>
        <v>2009</v>
      </c>
      <c r="D202" s="1" t="s">
        <v>26</v>
      </c>
      <c r="E202" s="66">
        <v>1057816</v>
      </c>
      <c r="F202" s="37"/>
      <c r="G202" s="37"/>
      <c r="H202" s="36"/>
      <c r="I202" s="66">
        <v>903940</v>
      </c>
      <c r="J202" s="38"/>
      <c r="K202" s="63">
        <v>4.3</v>
      </c>
      <c r="M202" s="55"/>
    </row>
    <row r="203" spans="3:13">
      <c r="C203">
        <f t="shared" si="2"/>
        <v>2010</v>
      </c>
      <c r="D203" s="1" t="s">
        <v>23</v>
      </c>
      <c r="E203" s="66">
        <v>1065652</v>
      </c>
      <c r="F203" s="37"/>
      <c r="G203" s="37"/>
      <c r="H203" s="36"/>
      <c r="I203" s="66">
        <v>925300</v>
      </c>
      <c r="J203" s="38"/>
      <c r="K203" s="63">
        <v>5.4</v>
      </c>
      <c r="M203" s="55"/>
    </row>
    <row r="204" spans="3:13">
      <c r="C204">
        <f t="shared" ref="C204:C237" si="3">C200+1</f>
        <v>2010</v>
      </c>
      <c r="D204" s="1" t="s">
        <v>24</v>
      </c>
      <c r="E204" s="66">
        <v>1076944</v>
      </c>
      <c r="F204" s="37"/>
      <c r="G204" s="37"/>
      <c r="H204" s="36"/>
      <c r="I204" s="66">
        <v>913868</v>
      </c>
      <c r="J204" s="38"/>
      <c r="K204" s="63">
        <v>3.7</v>
      </c>
      <c r="M204" s="55"/>
    </row>
    <row r="205" spans="3:13">
      <c r="C205">
        <f t="shared" si="3"/>
        <v>2010</v>
      </c>
      <c r="D205" s="1" t="s">
        <v>25</v>
      </c>
      <c r="E205" s="66">
        <v>1090708</v>
      </c>
      <c r="F205" s="37"/>
      <c r="G205" s="37"/>
      <c r="H205" s="36"/>
      <c r="I205" s="66">
        <v>928072</v>
      </c>
      <c r="J205" s="38"/>
      <c r="K205" s="63">
        <v>3.8</v>
      </c>
      <c r="M205" s="55"/>
    </row>
    <row r="206" spans="3:13">
      <c r="C206">
        <f t="shared" si="3"/>
        <v>2010</v>
      </c>
      <c r="D206" s="1" t="s">
        <v>26</v>
      </c>
      <c r="E206" s="66">
        <v>1108480</v>
      </c>
      <c r="F206" s="37"/>
      <c r="G206" s="37"/>
      <c r="H206" s="36"/>
      <c r="I206" s="66">
        <v>945124</v>
      </c>
      <c r="J206" s="38"/>
      <c r="K206" s="63">
        <v>4.2</v>
      </c>
      <c r="M206" s="55"/>
    </row>
    <row r="207" spans="3:13">
      <c r="C207">
        <f t="shared" si="3"/>
        <v>2011</v>
      </c>
      <c r="D207" s="1" t="s">
        <v>23</v>
      </c>
      <c r="E207" s="66">
        <v>1129532</v>
      </c>
      <c r="F207" s="37"/>
      <c r="G207" s="37"/>
      <c r="H207" s="36"/>
      <c r="I207" s="66">
        <v>950388</v>
      </c>
      <c r="J207" s="38"/>
      <c r="K207" s="63">
        <v>4.5</v>
      </c>
      <c r="M207" s="55"/>
    </row>
    <row r="208" spans="3:13">
      <c r="C208">
        <f t="shared" si="3"/>
        <v>2011</v>
      </c>
      <c r="D208" s="1" t="s">
        <v>24</v>
      </c>
      <c r="E208" s="66">
        <v>1138112</v>
      </c>
      <c r="F208" s="37"/>
      <c r="G208" s="37"/>
      <c r="H208" s="36"/>
      <c r="I208" s="66">
        <v>953648</v>
      </c>
      <c r="J208" s="38"/>
      <c r="K208" s="63">
        <v>4.3</v>
      </c>
      <c r="M208" s="55"/>
    </row>
    <row r="209" spans="3:13">
      <c r="C209">
        <f t="shared" si="3"/>
        <v>2011</v>
      </c>
      <c r="D209" s="1" t="s">
        <v>25</v>
      </c>
      <c r="E209" s="66">
        <v>1153920</v>
      </c>
      <c r="F209" s="37"/>
      <c r="G209" s="37"/>
      <c r="H209" s="36"/>
      <c r="I209" s="66">
        <v>962860</v>
      </c>
      <c r="J209" s="38"/>
      <c r="K209" s="63">
        <v>4.3</v>
      </c>
      <c r="M209" s="55"/>
    </row>
    <row r="210" spans="3:13">
      <c r="C210">
        <f t="shared" si="3"/>
        <v>2011</v>
      </c>
      <c r="D210" s="1" t="s">
        <v>26</v>
      </c>
      <c r="E210" s="66">
        <v>1164060</v>
      </c>
      <c r="F210" s="37"/>
      <c r="G210" s="37"/>
      <c r="H210" s="36"/>
      <c r="I210" s="66">
        <v>981496</v>
      </c>
      <c r="J210" s="38"/>
      <c r="K210" s="63">
        <v>4.3</v>
      </c>
      <c r="M210" s="55"/>
    </row>
    <row r="211" spans="3:13">
      <c r="C211">
        <f t="shared" si="3"/>
        <v>2012</v>
      </c>
      <c r="D211" s="1" t="s">
        <v>23</v>
      </c>
      <c r="E211" s="66">
        <v>1178920</v>
      </c>
      <c r="F211" s="37"/>
      <c r="G211" s="37"/>
      <c r="H211" s="36"/>
      <c r="I211" s="66">
        <v>989444</v>
      </c>
      <c r="J211" s="38"/>
      <c r="K211" s="63">
        <v>4.7</v>
      </c>
      <c r="M211" s="55"/>
    </row>
    <row r="212" spans="3:13">
      <c r="C212">
        <f t="shared" si="3"/>
        <v>2012</v>
      </c>
      <c r="D212" s="1" t="s">
        <v>24</v>
      </c>
      <c r="E212" s="66">
        <v>1193216</v>
      </c>
      <c r="F212" s="37"/>
      <c r="G212" s="37"/>
      <c r="H212" s="36"/>
      <c r="I212" s="66">
        <v>994088</v>
      </c>
      <c r="J212" s="38"/>
      <c r="K212" s="63">
        <v>4.9000000000000004</v>
      </c>
      <c r="M212" s="55"/>
    </row>
    <row r="213" spans="3:13">
      <c r="C213">
        <f t="shared" si="3"/>
        <v>2012</v>
      </c>
      <c r="D213" s="1" t="s">
        <v>25</v>
      </c>
      <c r="E213" s="66">
        <v>1205988</v>
      </c>
      <c r="F213" s="37"/>
      <c r="G213" s="37"/>
      <c r="H213" s="36"/>
      <c r="I213" s="66">
        <v>1006960</v>
      </c>
      <c r="J213" s="38"/>
      <c r="K213" s="63">
        <v>5.4</v>
      </c>
      <c r="M213" s="55"/>
    </row>
    <row r="214" spans="3:13">
      <c r="C214">
        <f t="shared" si="3"/>
        <v>2012</v>
      </c>
      <c r="D214" s="1" t="s">
        <v>26</v>
      </c>
      <c r="E214" s="66">
        <v>1218512</v>
      </c>
      <c r="F214" s="37"/>
      <c r="G214" s="37"/>
      <c r="H214" s="36"/>
      <c r="I214" s="66">
        <v>1014516</v>
      </c>
      <c r="J214" s="38"/>
      <c r="K214" s="63">
        <v>5.2</v>
      </c>
      <c r="M214" s="55"/>
    </row>
    <row r="215" spans="3:13">
      <c r="C215">
        <f t="shared" si="3"/>
        <v>2013</v>
      </c>
      <c r="D215" s="1" t="s">
        <v>23</v>
      </c>
      <c r="E215" s="66">
        <v>1230508</v>
      </c>
      <c r="F215" s="37"/>
      <c r="G215" s="37"/>
      <c r="H215" s="36"/>
      <c r="I215" s="66">
        <v>1036240</v>
      </c>
      <c r="J215" s="38"/>
      <c r="K215" s="63">
        <v>5.8</v>
      </c>
      <c r="M215" s="55"/>
    </row>
    <row r="216" spans="3:13">
      <c r="C216">
        <f t="shared" si="3"/>
        <v>2013</v>
      </c>
      <c r="D216" s="1" t="s">
        <v>24</v>
      </c>
      <c r="E216" s="66">
        <v>1239048</v>
      </c>
      <c r="F216" s="37"/>
      <c r="G216" s="37"/>
      <c r="H216" s="36"/>
      <c r="I216" s="66">
        <v>1042016</v>
      </c>
      <c r="J216" s="38"/>
      <c r="K216" s="63">
        <v>5</v>
      </c>
      <c r="M216" s="55"/>
    </row>
    <row r="217" spans="3:13">
      <c r="C217">
        <f t="shared" si="3"/>
        <v>2013</v>
      </c>
      <c r="D217" s="1" t="s">
        <v>25</v>
      </c>
      <c r="E217" s="66">
        <v>1250572</v>
      </c>
      <c r="F217" s="37"/>
      <c r="G217" s="37"/>
      <c r="H217" s="36"/>
      <c r="I217" s="66">
        <v>1048424</v>
      </c>
      <c r="J217" s="38"/>
      <c r="K217" s="63">
        <v>4.8</v>
      </c>
      <c r="M217" s="55"/>
    </row>
    <row r="218" spans="3:13">
      <c r="C218">
        <f t="shared" si="3"/>
        <v>2013</v>
      </c>
      <c r="D218" s="1" t="s">
        <v>26</v>
      </c>
      <c r="E218" s="66">
        <v>1263892</v>
      </c>
      <c r="F218" s="37"/>
      <c r="G218" s="37"/>
      <c r="H218" s="36"/>
      <c r="I218" s="66">
        <v>1060496</v>
      </c>
      <c r="J218" s="38"/>
      <c r="K218" s="63">
        <v>4.9000000000000004</v>
      </c>
      <c r="M218" s="55"/>
    </row>
    <row r="219" spans="3:13">
      <c r="C219">
        <f t="shared" si="3"/>
        <v>2014</v>
      </c>
      <c r="D219" s="1" t="s">
        <v>23</v>
      </c>
      <c r="E219" s="66">
        <v>1276328</v>
      </c>
      <c r="F219" s="37"/>
      <c r="G219" s="37"/>
      <c r="H219" s="36"/>
      <c r="I219" s="66">
        <v>1067684</v>
      </c>
      <c r="J219" s="38"/>
      <c r="K219" s="63">
        <v>4.3</v>
      </c>
      <c r="M219" s="55"/>
    </row>
    <row r="220" spans="3:13">
      <c r="C220">
        <f t="shared" si="3"/>
        <v>2014</v>
      </c>
      <c r="D220" s="1" t="s">
        <v>24</v>
      </c>
      <c r="E220" s="66">
        <v>1289216</v>
      </c>
      <c r="F220" s="37"/>
      <c r="G220" s="37"/>
      <c r="H220" s="36"/>
      <c r="I220" s="66">
        <v>1073324</v>
      </c>
      <c r="J220" s="38"/>
      <c r="K220" s="63">
        <v>3.9</v>
      </c>
      <c r="M220" s="55"/>
    </row>
    <row r="221" spans="3:13">
      <c r="C221">
        <f t="shared" si="3"/>
        <v>2014</v>
      </c>
      <c r="D221" s="1" t="s">
        <v>25</v>
      </c>
      <c r="E221" s="66">
        <v>1301532</v>
      </c>
      <c r="F221" s="37"/>
      <c r="G221" s="37"/>
      <c r="H221" s="36"/>
      <c r="I221" s="66">
        <v>1091132</v>
      </c>
      <c r="J221" s="38"/>
      <c r="K221" s="63">
        <v>3.8</v>
      </c>
      <c r="M221" s="55"/>
    </row>
    <row r="222" spans="3:13">
      <c r="C222">
        <f t="shared" si="3"/>
        <v>2014</v>
      </c>
      <c r="D222" s="1" t="s">
        <v>26</v>
      </c>
      <c r="E222" s="66">
        <v>1310304</v>
      </c>
      <c r="F222" s="37"/>
      <c r="G222" s="37"/>
      <c r="H222" s="36"/>
      <c r="I222" s="66">
        <v>1094480</v>
      </c>
      <c r="J222" s="38"/>
      <c r="K222" s="63">
        <v>3.5</v>
      </c>
      <c r="M222" s="55"/>
    </row>
    <row r="223" spans="3:13">
      <c r="C223">
        <f t="shared" si="3"/>
        <v>2015</v>
      </c>
      <c r="D223" s="1" t="s">
        <v>23</v>
      </c>
      <c r="E223" s="66">
        <v>1326508</v>
      </c>
      <c r="F223" s="37"/>
      <c r="G223" s="37"/>
      <c r="H223" s="36"/>
      <c r="I223" s="66">
        <v>1117748</v>
      </c>
      <c r="J223" s="38"/>
      <c r="K223" s="63">
        <v>5.0999999999999996</v>
      </c>
      <c r="M223" s="55"/>
    </row>
    <row r="224" spans="3:13">
      <c r="C224">
        <f t="shared" si="3"/>
        <v>2015</v>
      </c>
      <c r="D224" s="1" t="s">
        <v>24</v>
      </c>
      <c r="E224" s="66">
        <v>1342960</v>
      </c>
      <c r="F224" s="37"/>
      <c r="G224" s="37"/>
      <c r="H224" s="36"/>
      <c r="I224" s="66">
        <v>1127520</v>
      </c>
      <c r="J224" s="38"/>
      <c r="K224" s="63">
        <v>5.2</v>
      </c>
      <c r="M224" s="55"/>
    </row>
    <row r="225" spans="3:13">
      <c r="C225">
        <f t="shared" si="3"/>
        <v>2015</v>
      </c>
      <c r="D225" s="1" t="s">
        <v>25</v>
      </c>
      <c r="E225" s="66">
        <v>1350780</v>
      </c>
      <c r="F225" s="37"/>
      <c r="G225" s="37"/>
      <c r="H225" s="36"/>
      <c r="I225" s="66">
        <v>1136328</v>
      </c>
      <c r="J225" s="38"/>
      <c r="K225" s="63">
        <v>4.3</v>
      </c>
      <c r="M225" s="55"/>
    </row>
    <row r="226" spans="3:13">
      <c r="C226">
        <f t="shared" si="3"/>
        <v>2015</v>
      </c>
      <c r="D226" s="1" t="s">
        <v>26</v>
      </c>
      <c r="E226" s="66">
        <v>1359452</v>
      </c>
      <c r="F226" s="37"/>
      <c r="G226" s="37"/>
      <c r="H226" s="36"/>
      <c r="I226" s="66">
        <v>1137924</v>
      </c>
      <c r="J226" s="38"/>
      <c r="K226" s="63">
        <v>3.6</v>
      </c>
      <c r="M226" s="55"/>
    </row>
    <row r="227" spans="3:13">
      <c r="C227">
        <f t="shared" si="3"/>
        <v>2016</v>
      </c>
      <c r="D227" s="1" t="s">
        <v>23</v>
      </c>
      <c r="E227" s="66">
        <v>1330476</v>
      </c>
      <c r="F227" s="37"/>
      <c r="G227" s="37"/>
      <c r="H227" s="36"/>
      <c r="I227" s="66">
        <v>1107644</v>
      </c>
      <c r="J227" s="38"/>
      <c r="K227" s="63">
        <v>0.7</v>
      </c>
      <c r="M227" s="55"/>
    </row>
    <row r="228" spans="3:13">
      <c r="C228">
        <f t="shared" si="3"/>
        <v>2016</v>
      </c>
      <c r="D228" s="1" t="s">
        <v>24</v>
      </c>
      <c r="E228" s="66">
        <v>1334460</v>
      </c>
      <c r="F228" s="37"/>
      <c r="G228" s="37"/>
      <c r="H228" s="36"/>
      <c r="I228" s="66">
        <v>1128120</v>
      </c>
      <c r="J228" s="38"/>
      <c r="K228" s="63">
        <v>2.2000000000000002</v>
      </c>
      <c r="M228" s="55"/>
    </row>
    <row r="229" spans="3:13">
      <c r="C229">
        <f t="shared" si="3"/>
        <v>2016</v>
      </c>
      <c r="D229" s="1" t="s">
        <v>25</v>
      </c>
      <c r="E229" s="66">
        <v>1341720</v>
      </c>
      <c r="F229" s="37"/>
      <c r="G229" s="37"/>
      <c r="H229" s="36"/>
      <c r="I229" s="66">
        <v>1141024</v>
      </c>
      <c r="J229" s="38"/>
      <c r="K229" s="63">
        <v>2.4</v>
      </c>
      <c r="M229" s="55"/>
    </row>
    <row r="230" spans="3:13">
      <c r="C230">
        <f t="shared" si="3"/>
        <v>2016</v>
      </c>
      <c r="D230" s="1" t="s">
        <v>26</v>
      </c>
      <c r="E230" s="66">
        <v>1356612</v>
      </c>
      <c r="F230" s="37"/>
      <c r="G230" s="37"/>
      <c r="H230" s="36"/>
      <c r="I230" s="66">
        <v>1154244</v>
      </c>
      <c r="J230" s="38"/>
      <c r="K230" s="63">
        <v>2.5</v>
      </c>
      <c r="M230" s="55"/>
    </row>
    <row r="231" spans="3:13">
      <c r="C231">
        <f t="shared" si="3"/>
        <v>2017</v>
      </c>
      <c r="D231" s="1" t="s">
        <v>23</v>
      </c>
      <c r="E231" s="66">
        <v>1365724</v>
      </c>
      <c r="F231" s="37"/>
      <c r="G231" s="37"/>
      <c r="H231" s="36"/>
      <c r="I231" s="66">
        <v>1158008</v>
      </c>
      <c r="J231" s="38"/>
      <c r="K231" s="63">
        <v>1.1000000000000001</v>
      </c>
      <c r="M231" s="55"/>
    </row>
    <row r="232" spans="3:13">
      <c r="C232">
        <f t="shared" si="3"/>
        <v>2017</v>
      </c>
      <c r="D232" s="1" t="s">
        <v>24</v>
      </c>
      <c r="E232" s="66">
        <v>1384768</v>
      </c>
      <c r="F232" s="37"/>
      <c r="G232" s="37"/>
      <c r="H232" s="36"/>
      <c r="I232" s="66">
        <v>1179116</v>
      </c>
      <c r="J232" s="38"/>
      <c r="K232" s="63">
        <v>1.5</v>
      </c>
      <c r="M232" s="55"/>
    </row>
    <row r="233" spans="3:13">
      <c r="C233">
        <f t="shared" si="3"/>
        <v>2017</v>
      </c>
      <c r="D233" s="1" t="s">
        <v>25</v>
      </c>
      <c r="E233" s="66">
        <v>1413608</v>
      </c>
      <c r="F233" s="37"/>
      <c r="G233" s="37"/>
      <c r="H233" s="36"/>
      <c r="I233" s="66">
        <v>1203920</v>
      </c>
      <c r="J233" s="38"/>
      <c r="K233" s="63">
        <v>2.8</v>
      </c>
      <c r="M233" s="55"/>
    </row>
    <row r="234" spans="3:13">
      <c r="C234">
        <f t="shared" si="3"/>
        <v>2017</v>
      </c>
      <c r="D234" s="1" t="s">
        <v>26</v>
      </c>
      <c r="E234" s="66">
        <v>1431300</v>
      </c>
      <c r="F234" s="37"/>
      <c r="G234" s="37"/>
      <c r="H234" s="36"/>
      <c r="I234" s="66">
        <v>1216424</v>
      </c>
      <c r="J234" s="38"/>
      <c r="K234" s="63">
        <v>2.6</v>
      </c>
      <c r="M234" s="55"/>
    </row>
    <row r="235" spans="3:13">
      <c r="C235">
        <f t="shared" si="3"/>
        <v>2018</v>
      </c>
      <c r="D235" s="1" t="s">
        <v>23</v>
      </c>
      <c r="E235" s="66">
        <v>1438048</v>
      </c>
      <c r="F235" s="37"/>
      <c r="G235" s="37"/>
      <c r="H235" s="36"/>
      <c r="I235" s="66">
        <v>1215708</v>
      </c>
      <c r="J235" s="38"/>
      <c r="K235" s="63">
        <v>1.4</v>
      </c>
      <c r="M235" s="55"/>
    </row>
    <row r="236" spans="3:13">
      <c r="C236">
        <f t="shared" si="3"/>
        <v>2018</v>
      </c>
      <c r="D236" s="1" t="s">
        <v>24</v>
      </c>
      <c r="E236" s="66">
        <v>1440812</v>
      </c>
      <c r="F236" s="37"/>
      <c r="G236" s="37"/>
      <c r="H236" s="36"/>
      <c r="I236" s="66">
        <v>1216444</v>
      </c>
      <c r="J236" s="38"/>
      <c r="K236" s="63">
        <v>0.1</v>
      </c>
      <c r="M236" s="55"/>
    </row>
    <row r="237" spans="3:13">
      <c r="C237">
        <f t="shared" si="3"/>
        <v>2018</v>
      </c>
      <c r="D237" s="1" t="s">
        <v>25</v>
      </c>
      <c r="E237" s="66">
        <v>1452344</v>
      </c>
      <c r="F237" s="37"/>
      <c r="G237" s="37"/>
      <c r="H237" s="36"/>
      <c r="I237" s="66">
        <v>1222984</v>
      </c>
      <c r="J237" s="38"/>
      <c r="K237" s="63">
        <v>-0.1</v>
      </c>
      <c r="M237" s="55"/>
    </row>
    <row r="238" spans="3:13">
      <c r="C238">
        <f>C234+1</f>
        <v>2018</v>
      </c>
      <c r="D238" s="1" t="s">
        <v>26</v>
      </c>
      <c r="E238" s="66">
        <v>1468740</v>
      </c>
      <c r="F238" s="37"/>
      <c r="G238" s="37"/>
      <c r="H238" s="36"/>
      <c r="I238" s="66">
        <v>1244536</v>
      </c>
      <c r="J238" s="38"/>
      <c r="K238" s="63">
        <v>1.1000000000000001</v>
      </c>
      <c r="M238" s="55"/>
    </row>
    <row r="239" spans="3:13">
      <c r="C239">
        <f t="shared" ref="C239:C243" si="4">C235+1</f>
        <v>2019</v>
      </c>
      <c r="D239" s="1" t="s">
        <v>23</v>
      </c>
      <c r="E239" s="66">
        <v>1481148</v>
      </c>
      <c r="F239" s="37"/>
      <c r="G239" s="37"/>
      <c r="H239" s="36"/>
      <c r="I239" s="66">
        <v>1253808</v>
      </c>
      <c r="J239" s="38"/>
      <c r="K239" s="63">
        <v>1.1000000000000001</v>
      </c>
      <c r="M239" s="55"/>
    </row>
    <row r="240" spans="3:13">
      <c r="C240">
        <f t="shared" si="4"/>
        <v>2019</v>
      </c>
      <c r="D240" s="1" t="s">
        <v>24</v>
      </c>
      <c r="E240" s="66">
        <v>1504196</v>
      </c>
      <c r="F240" s="37"/>
      <c r="G240" s="37"/>
      <c r="H240" s="36"/>
      <c r="I240" s="66">
        <v>1279508</v>
      </c>
      <c r="J240" s="38"/>
      <c r="K240" s="63">
        <v>2</v>
      </c>
      <c r="M240" s="55"/>
    </row>
    <row r="241" spans="3:13">
      <c r="C241">
        <f t="shared" si="4"/>
        <v>2019</v>
      </c>
      <c r="D241" s="1" t="s">
        <v>25</v>
      </c>
      <c r="E241" s="66">
        <v>1522568</v>
      </c>
      <c r="F241" s="37"/>
      <c r="G241" s="37"/>
      <c r="H241" s="36"/>
      <c r="I241" s="66">
        <v>1290776</v>
      </c>
      <c r="J241" s="38"/>
      <c r="K241" s="63">
        <v>2.5</v>
      </c>
      <c r="M241" s="55"/>
    </row>
    <row r="242" spans="3:13">
      <c r="C242">
        <f t="shared" si="4"/>
        <v>2019</v>
      </c>
      <c r="D242" s="1" t="s">
        <v>26</v>
      </c>
      <c r="E242" s="66">
        <v>1543672</v>
      </c>
      <c r="F242" s="37"/>
      <c r="G242" s="37"/>
      <c r="H242" s="36"/>
      <c r="I242" s="66">
        <v>1308560</v>
      </c>
      <c r="J242" s="38"/>
      <c r="K242" s="63">
        <v>2.7</v>
      </c>
      <c r="M242" s="55"/>
    </row>
    <row r="243" spans="3:13">
      <c r="C243">
        <f t="shared" si="4"/>
        <v>2020</v>
      </c>
      <c r="D243" s="1" t="s">
        <v>23</v>
      </c>
      <c r="E243" s="66">
        <v>1532760</v>
      </c>
      <c r="F243" s="37"/>
      <c r="G243" s="37"/>
      <c r="H243" s="36"/>
      <c r="I243" s="66">
        <v>1322940</v>
      </c>
      <c r="J243" s="38"/>
      <c r="K243" s="63">
        <v>5.8</v>
      </c>
      <c r="M243" s="55"/>
    </row>
    <row r="244" spans="3:13">
      <c r="C244">
        <f>C240+1</f>
        <v>2020</v>
      </c>
      <c r="D244" s="1" t="s">
        <v>24</v>
      </c>
      <c r="E244" s="66">
        <v>1420904</v>
      </c>
      <c r="F244" s="37"/>
      <c r="G244" s="37"/>
      <c r="H244" s="36"/>
      <c r="I244" s="66">
        <v>1478476</v>
      </c>
      <c r="J244" s="38"/>
      <c r="K244" s="63">
        <v>27.2</v>
      </c>
      <c r="M244" s="55"/>
    </row>
    <row r="245" spans="3:13">
      <c r="C245">
        <f t="shared" ref="C245" si="5">C241+1</f>
        <v>2020</v>
      </c>
      <c r="D245" s="1" t="s">
        <v>25</v>
      </c>
      <c r="E245" s="66">
        <v>1506996</v>
      </c>
      <c r="F245" s="37"/>
      <c r="G245" s="37"/>
      <c r="H245" s="36"/>
      <c r="I245" s="66">
        <v>1401072</v>
      </c>
      <c r="J245" s="38"/>
      <c r="K245" s="63">
        <v>13.4</v>
      </c>
      <c r="M245" s="55"/>
    </row>
    <row r="246" spans="3:13">
      <c r="C246">
        <v>2020</v>
      </c>
      <c r="D246" s="1" t="s">
        <v>26</v>
      </c>
      <c r="E246" s="66">
        <v>1541972</v>
      </c>
      <c r="I246" s="66">
        <v>1388204</v>
      </c>
      <c r="K246" s="63">
        <v>11.5</v>
      </c>
    </row>
    <row r="247" spans="3:13">
      <c r="C247">
        <v>2021</v>
      </c>
      <c r="D247" s="64" t="s">
        <v>23</v>
      </c>
      <c r="E247" s="66">
        <v>1580732</v>
      </c>
      <c r="I247" s="66">
        <v>1433604</v>
      </c>
      <c r="K247" s="63">
        <v>13.7</v>
      </c>
    </row>
    <row r="248" spans="3:13">
      <c r="C248" s="63">
        <v>2021</v>
      </c>
      <c r="D248" s="64" t="s">
        <v>24</v>
      </c>
      <c r="E248" s="66">
        <v>1604584</v>
      </c>
      <c r="F248" s="39"/>
      <c r="G248" s="39"/>
      <c r="H248" s="39"/>
      <c r="I248" s="66">
        <v>1450472</v>
      </c>
      <c r="J248" s="39"/>
      <c r="K248" s="63">
        <v>14.4</v>
      </c>
      <c r="M248" s="39"/>
    </row>
    <row r="249" spans="3:13">
      <c r="C249" s="63">
        <v>2021</v>
      </c>
      <c r="D249" s="64" t="s">
        <v>25</v>
      </c>
      <c r="E249" s="66">
        <v>1641680</v>
      </c>
      <c r="I249" s="66">
        <v>1443980</v>
      </c>
      <c r="K249" s="63">
        <v>9</v>
      </c>
    </row>
    <row r="250" spans="3:13">
      <c r="C250" s="63">
        <v>2021</v>
      </c>
      <c r="D250" s="64" t="s">
        <v>26</v>
      </c>
      <c r="E250" s="66">
        <v>1664984</v>
      </c>
      <c r="I250" s="66">
        <v>1425156</v>
      </c>
      <c r="K250" s="63">
        <v>6.4</v>
      </c>
    </row>
    <row r="251" spans="3:13">
      <c r="D251" s="1"/>
    </row>
    <row r="252" spans="3:13">
      <c r="C252" t="s">
        <v>29</v>
      </c>
      <c r="D252" s="1"/>
    </row>
    <row r="253" spans="3:13">
      <c r="D253" s="1"/>
    </row>
    <row r="254" spans="3:13">
      <c r="D254" s="1"/>
    </row>
    <row r="255" spans="3:13">
      <c r="D255" s="1"/>
    </row>
    <row r="256" spans="3:13">
      <c r="D256" s="1"/>
    </row>
    <row r="257" spans="4:4">
      <c r="D257" s="1"/>
    </row>
    <row r="258" spans="4:4">
      <c r="D25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BF0D-745D-F643-8D9C-A4E5CADD00B5}">
  <dimension ref="B2:N211"/>
  <sheetViews>
    <sheetView topLeftCell="F7" zoomScale="70" zoomScaleNormal="70" workbookViewId="0">
      <selection activeCell="O15" sqref="O15"/>
    </sheetView>
  </sheetViews>
  <sheetFormatPr baseColWidth="10" defaultRowHeight="15.6"/>
  <cols>
    <col min="6" max="6" width="25.19921875" customWidth="1"/>
  </cols>
  <sheetData>
    <row r="2" spans="2:14">
      <c r="B2" s="56"/>
      <c r="G2" s="56" t="s">
        <v>53</v>
      </c>
    </row>
    <row r="3" spans="2:14" ht="187.2">
      <c r="H3" s="40" t="s">
        <v>55</v>
      </c>
      <c r="I3" s="57" t="s">
        <v>54</v>
      </c>
    </row>
    <row r="4" spans="2:14">
      <c r="G4">
        <v>1</v>
      </c>
      <c r="H4">
        <v>66.494</v>
      </c>
      <c r="I4">
        <v>0.95699999999999996</v>
      </c>
    </row>
    <row r="5" spans="2:14">
      <c r="G5">
        <v>2</v>
      </c>
      <c r="H5">
        <v>69.394000000000005</v>
      </c>
      <c r="I5">
        <v>0.95499999999999996</v>
      </c>
      <c r="L5" s="58"/>
      <c r="M5" s="58"/>
      <c r="N5" s="58"/>
    </row>
    <row r="6" spans="2:14">
      <c r="G6">
        <v>3</v>
      </c>
      <c r="H6">
        <v>54.682000000000002</v>
      </c>
      <c r="I6" s="58">
        <v>0.94899999999999995</v>
      </c>
      <c r="L6" s="58"/>
      <c r="M6" s="58"/>
      <c r="N6" s="58"/>
    </row>
    <row r="7" spans="2:14">
      <c r="G7">
        <v>4</v>
      </c>
      <c r="H7">
        <v>57.707000000000001</v>
      </c>
      <c r="I7" s="58">
        <v>0.94399999999999995</v>
      </c>
      <c r="L7" s="58"/>
      <c r="M7" s="58"/>
      <c r="N7" s="58"/>
    </row>
    <row r="8" spans="2:14">
      <c r="G8">
        <v>5</v>
      </c>
      <c r="H8">
        <v>46.070999999999998</v>
      </c>
      <c r="I8">
        <v>0.93200000000000005</v>
      </c>
      <c r="L8" s="58"/>
      <c r="M8" s="58"/>
      <c r="N8" s="58"/>
    </row>
    <row r="9" spans="2:14">
      <c r="G9">
        <v>6</v>
      </c>
      <c r="H9">
        <v>48.527000000000001</v>
      </c>
      <c r="I9">
        <v>0.92900000000000005</v>
      </c>
      <c r="L9" s="58"/>
      <c r="M9" s="58"/>
      <c r="N9" s="58"/>
    </row>
    <row r="10" spans="2:14">
      <c r="G10">
        <v>7</v>
      </c>
      <c r="H10">
        <v>56.197000000000003</v>
      </c>
      <c r="I10" s="58">
        <v>0.92200000000000004</v>
      </c>
      <c r="L10" s="58"/>
      <c r="M10" s="58"/>
      <c r="N10" s="58"/>
    </row>
    <row r="11" spans="2:14">
      <c r="G11">
        <v>8</v>
      </c>
      <c r="H11">
        <v>40.186999999999998</v>
      </c>
      <c r="I11" s="58">
        <v>0.91900000000000004</v>
      </c>
      <c r="L11" s="58"/>
      <c r="M11" s="58"/>
      <c r="N11" s="58"/>
    </row>
    <row r="12" spans="2:14">
      <c r="G12">
        <v>9</v>
      </c>
      <c r="H12">
        <v>47.494999999999997</v>
      </c>
      <c r="I12" s="58">
        <v>0.85399999999999998</v>
      </c>
      <c r="L12" s="58"/>
      <c r="M12" s="58"/>
      <c r="N12" s="58"/>
    </row>
    <row r="13" spans="2:14">
      <c r="G13">
        <v>10</v>
      </c>
      <c r="H13">
        <v>28.07</v>
      </c>
      <c r="I13" s="58">
        <v>0.85099999999999998</v>
      </c>
      <c r="L13" s="58"/>
      <c r="M13" s="58"/>
      <c r="N13" s="58"/>
    </row>
    <row r="14" spans="2:14">
      <c r="G14">
        <v>11</v>
      </c>
      <c r="H14">
        <v>29.497</v>
      </c>
      <c r="I14" s="58">
        <v>0.82799999999999996</v>
      </c>
      <c r="L14" s="58"/>
      <c r="M14" s="58"/>
      <c r="N14" s="58"/>
    </row>
    <row r="15" spans="2:14">
      <c r="G15">
        <v>12</v>
      </c>
      <c r="H15">
        <v>19.317</v>
      </c>
      <c r="I15" s="58">
        <v>0.82599999999999996</v>
      </c>
      <c r="L15" s="58"/>
      <c r="M15" s="58"/>
      <c r="N15" s="58"/>
    </row>
    <row r="16" spans="2:14">
      <c r="G16">
        <v>13</v>
      </c>
      <c r="H16">
        <v>18.486000000000001</v>
      </c>
      <c r="I16" s="58">
        <v>0.81</v>
      </c>
      <c r="L16" s="58"/>
      <c r="M16" s="58"/>
      <c r="N16" s="58"/>
    </row>
    <row r="17" spans="7:14">
      <c r="G17">
        <v>14</v>
      </c>
      <c r="H17">
        <v>58.59</v>
      </c>
      <c r="I17" s="58">
        <v>0.80600000000000005</v>
      </c>
      <c r="L17" s="58"/>
      <c r="M17" s="58"/>
      <c r="N17" s="58"/>
    </row>
    <row r="18" spans="7:14">
      <c r="G18">
        <v>15</v>
      </c>
      <c r="H18">
        <v>26.231000000000002</v>
      </c>
      <c r="I18" s="58">
        <v>0.79600000000000004</v>
      </c>
      <c r="L18" s="58"/>
      <c r="M18" s="58"/>
      <c r="N18" s="58"/>
    </row>
    <row r="19" spans="7:14">
      <c r="G19">
        <v>16</v>
      </c>
      <c r="H19">
        <v>14.263</v>
      </c>
      <c r="I19" s="58">
        <v>0.76500000000000001</v>
      </c>
      <c r="L19" s="58"/>
      <c r="M19" s="58"/>
      <c r="N19" s="58"/>
    </row>
    <row r="20" spans="7:14">
      <c r="G20">
        <v>17</v>
      </c>
      <c r="H20">
        <v>11.044</v>
      </c>
      <c r="I20" s="58">
        <v>0.75900000000000001</v>
      </c>
      <c r="L20" s="58"/>
      <c r="M20" s="58"/>
      <c r="N20" s="58"/>
    </row>
    <row r="21" spans="7:14">
      <c r="G21">
        <v>18</v>
      </c>
      <c r="H21">
        <v>12.129</v>
      </c>
      <c r="I21" s="58">
        <v>0.70899999999999996</v>
      </c>
      <c r="L21" s="58"/>
      <c r="M21" s="58"/>
      <c r="N21" s="58"/>
    </row>
    <row r="22" spans="7:14">
      <c r="G22">
        <v>19</v>
      </c>
      <c r="H22">
        <v>13.93</v>
      </c>
      <c r="I22" s="58">
        <v>0.70299999999999996</v>
      </c>
      <c r="L22" s="58"/>
      <c r="M22" s="58"/>
      <c r="N22" s="58"/>
    </row>
    <row r="23" spans="7:14">
      <c r="G23">
        <v>20</v>
      </c>
      <c r="H23">
        <v>10.746</v>
      </c>
      <c r="I23" s="58">
        <v>0.66</v>
      </c>
      <c r="L23" s="58"/>
      <c r="M23" s="58"/>
      <c r="N23" s="58"/>
    </row>
    <row r="24" spans="7:14">
      <c r="G24">
        <v>21</v>
      </c>
      <c r="H24">
        <v>9.3569999999999993</v>
      </c>
      <c r="I24" s="58">
        <v>0.64600000000000002</v>
      </c>
      <c r="L24" s="58"/>
      <c r="M24" s="58"/>
      <c r="N24" s="58"/>
    </row>
    <row r="25" spans="7:14">
      <c r="G25">
        <v>22</v>
      </c>
      <c r="H25">
        <v>5.2690000000000001</v>
      </c>
      <c r="I25" s="58">
        <v>0.61099999999999999</v>
      </c>
      <c r="L25" s="58"/>
      <c r="M25" s="58"/>
      <c r="N25" s="58"/>
    </row>
    <row r="26" spans="7:14">
      <c r="G26">
        <v>23</v>
      </c>
      <c r="H26">
        <v>2.879</v>
      </c>
      <c r="I26" s="58">
        <v>0.57399999999999995</v>
      </c>
      <c r="L26" s="58"/>
      <c r="M26" s="58"/>
      <c r="N26" s="58"/>
    </row>
    <row r="27" spans="7:14">
      <c r="G27">
        <v>24</v>
      </c>
      <c r="H27">
        <v>2.1549999999999998</v>
      </c>
      <c r="I27" s="58">
        <v>0.54300000000000004</v>
      </c>
      <c r="L27" s="58"/>
      <c r="M27" s="58"/>
      <c r="N27" s="58"/>
    </row>
    <row r="28" spans="7:14">
      <c r="G28">
        <v>25</v>
      </c>
      <c r="H28">
        <v>5.069</v>
      </c>
      <c r="I28" s="58">
        <v>0.53800000000000003</v>
      </c>
      <c r="L28" s="58"/>
      <c r="M28" s="58"/>
      <c r="N28" s="58"/>
    </row>
    <row r="29" spans="7:14">
      <c r="I29" s="58"/>
      <c r="L29" s="58"/>
      <c r="M29" s="58"/>
      <c r="N29" s="58"/>
    </row>
    <row r="30" spans="7:14">
      <c r="I30" s="58"/>
      <c r="L30" s="58"/>
      <c r="M30" s="58"/>
      <c r="N30" s="58"/>
    </row>
    <row r="31" spans="7:14">
      <c r="L31" s="58"/>
      <c r="M31" s="58"/>
      <c r="N31" s="58"/>
    </row>
    <row r="32" spans="7:14">
      <c r="L32" s="58"/>
      <c r="M32" s="58"/>
      <c r="N32" s="58"/>
    </row>
    <row r="33" spans="12:14">
      <c r="L33" s="58"/>
      <c r="M33" s="58"/>
      <c r="N33" s="58"/>
    </row>
    <row r="34" spans="12:14">
      <c r="L34" s="58"/>
      <c r="M34" s="58"/>
      <c r="N34" s="58"/>
    </row>
    <row r="35" spans="12:14">
      <c r="L35" s="58"/>
      <c r="M35" s="58"/>
      <c r="N35" s="58"/>
    </row>
    <row r="36" spans="12:14">
      <c r="L36" s="58"/>
      <c r="M36" s="58"/>
      <c r="N36" s="58"/>
    </row>
    <row r="37" spans="12:14">
      <c r="L37" s="58"/>
      <c r="M37" s="58"/>
      <c r="N37" s="58"/>
    </row>
    <row r="38" spans="12:14">
      <c r="L38" s="58"/>
      <c r="M38" s="58"/>
      <c r="N38" s="58"/>
    </row>
    <row r="39" spans="12:14">
      <c r="L39" s="58"/>
      <c r="M39" s="58"/>
      <c r="N39" s="58"/>
    </row>
    <row r="40" spans="12:14">
      <c r="L40" s="58"/>
      <c r="M40" s="58"/>
      <c r="N40" s="58"/>
    </row>
    <row r="41" spans="12:14">
      <c r="L41" s="58"/>
      <c r="M41" s="58"/>
      <c r="N41" s="58"/>
    </row>
    <row r="42" spans="12:14">
      <c r="L42" s="58"/>
      <c r="M42" s="58"/>
      <c r="N42" s="58"/>
    </row>
    <row r="43" spans="12:14">
      <c r="L43" s="58"/>
      <c r="M43" s="58"/>
      <c r="N43" s="58"/>
    </row>
    <row r="44" spans="12:14">
      <c r="L44" s="58"/>
      <c r="M44" s="58"/>
      <c r="N44" s="58"/>
    </row>
    <row r="45" spans="12:14">
      <c r="L45" s="58"/>
      <c r="M45" s="58"/>
      <c r="N45" s="58"/>
    </row>
    <row r="46" spans="12:14">
      <c r="L46" s="58"/>
      <c r="M46" s="58"/>
      <c r="N46" s="58"/>
    </row>
    <row r="47" spans="12:14">
      <c r="L47" s="58"/>
      <c r="M47" s="58"/>
      <c r="N47" s="58"/>
    </row>
    <row r="48" spans="12:14">
      <c r="L48" s="58"/>
      <c r="M48" s="58"/>
      <c r="N48" s="58"/>
    </row>
    <row r="49" spans="12:14">
      <c r="L49" s="58"/>
      <c r="M49" s="58"/>
      <c r="N49" s="58"/>
    </row>
    <row r="50" spans="12:14">
      <c r="L50" s="58"/>
      <c r="M50" s="58"/>
      <c r="N50" s="58"/>
    </row>
    <row r="51" spans="12:14">
      <c r="L51" s="58"/>
      <c r="M51" s="58"/>
      <c r="N51" s="58"/>
    </row>
    <row r="52" spans="12:14">
      <c r="L52" s="58"/>
      <c r="M52" s="58"/>
      <c r="N52" s="58"/>
    </row>
    <row r="53" spans="12:14">
      <c r="L53" s="58"/>
      <c r="M53" s="58"/>
      <c r="N53" s="58"/>
    </row>
    <row r="54" spans="12:14">
      <c r="L54" s="58"/>
      <c r="M54" s="58"/>
      <c r="N54" s="58"/>
    </row>
    <row r="55" spans="12:14">
      <c r="L55" s="58"/>
      <c r="M55" s="58"/>
      <c r="N55" s="58"/>
    </row>
    <row r="56" spans="12:14">
      <c r="L56" s="58"/>
      <c r="M56" s="58"/>
      <c r="N56" s="58"/>
    </row>
    <row r="57" spans="12:14">
      <c r="L57" s="58"/>
      <c r="M57" s="58"/>
      <c r="N57" s="58"/>
    </row>
    <row r="58" spans="12:14">
      <c r="L58" s="58"/>
      <c r="M58" s="58"/>
      <c r="N58" s="58"/>
    </row>
    <row r="59" spans="12:14">
      <c r="L59" s="58"/>
      <c r="M59" s="58"/>
      <c r="N59" s="58"/>
    </row>
    <row r="60" spans="12:14">
      <c r="L60" s="58"/>
      <c r="M60" s="58"/>
      <c r="N60" s="58"/>
    </row>
    <row r="61" spans="12:14">
      <c r="L61" s="58"/>
      <c r="M61" s="58"/>
      <c r="N61" s="58"/>
    </row>
    <row r="62" spans="12:14">
      <c r="L62" s="58"/>
      <c r="M62" s="58"/>
      <c r="N62" s="58"/>
    </row>
    <row r="63" spans="12:14">
      <c r="L63" s="58"/>
      <c r="M63" s="58"/>
      <c r="N63" s="58"/>
    </row>
    <row r="64" spans="12:14">
      <c r="L64" s="58"/>
      <c r="M64" s="58"/>
      <c r="N64" s="58"/>
    </row>
    <row r="65" spans="12:14">
      <c r="L65" s="58"/>
      <c r="M65" s="58"/>
      <c r="N65" s="58"/>
    </row>
    <row r="66" spans="12:14">
      <c r="L66" s="58"/>
      <c r="M66" s="58"/>
      <c r="N66" s="58"/>
    </row>
    <row r="67" spans="12:14">
      <c r="L67" s="58"/>
      <c r="M67" s="58"/>
      <c r="N67" s="58"/>
    </row>
    <row r="68" spans="12:14">
      <c r="L68" s="58"/>
      <c r="M68" s="58"/>
      <c r="N68" s="58"/>
    </row>
    <row r="69" spans="12:14">
      <c r="L69" s="58"/>
      <c r="M69" s="58"/>
      <c r="N69" s="58"/>
    </row>
    <row r="70" spans="12:14">
      <c r="L70" s="58"/>
      <c r="M70" s="58"/>
      <c r="N70" s="58"/>
    </row>
    <row r="71" spans="12:14">
      <c r="L71" s="58"/>
      <c r="M71" s="58"/>
      <c r="N71" s="58"/>
    </row>
    <row r="72" spans="12:14">
      <c r="L72" s="58"/>
      <c r="M72" s="58"/>
      <c r="N72" s="58"/>
    </row>
    <row r="73" spans="12:14">
      <c r="L73" s="58"/>
      <c r="M73" s="58"/>
      <c r="N73" s="58"/>
    </row>
    <row r="74" spans="12:14">
      <c r="L74" s="58"/>
      <c r="M74" s="58"/>
      <c r="N74" s="58"/>
    </row>
    <row r="75" spans="12:14">
      <c r="L75" s="58"/>
      <c r="M75" s="58"/>
      <c r="N75" s="58"/>
    </row>
    <row r="76" spans="12:14">
      <c r="L76" s="58"/>
      <c r="M76" s="58"/>
      <c r="N76" s="58"/>
    </row>
    <row r="77" spans="12:14">
      <c r="L77" s="58"/>
      <c r="M77" s="58"/>
      <c r="N77" s="58"/>
    </row>
    <row r="78" spans="12:14">
      <c r="L78" s="58"/>
      <c r="M78" s="58"/>
      <c r="N78" s="58"/>
    </row>
    <row r="79" spans="12:14">
      <c r="L79" s="58"/>
      <c r="M79" s="58"/>
      <c r="N79" s="58"/>
    </row>
    <row r="80" spans="12:14">
      <c r="L80" s="58"/>
      <c r="M80" s="58"/>
      <c r="N80" s="58"/>
    </row>
    <row r="81" spans="12:14">
      <c r="L81" s="58"/>
      <c r="M81" s="58"/>
      <c r="N81" s="58"/>
    </row>
    <row r="82" spans="12:14">
      <c r="L82" s="58"/>
      <c r="M82" s="58"/>
      <c r="N82" s="58"/>
    </row>
    <row r="83" spans="12:14">
      <c r="L83" s="58"/>
      <c r="M83" s="58"/>
      <c r="N83" s="58"/>
    </row>
    <row r="84" spans="12:14">
      <c r="L84" s="58"/>
      <c r="M84" s="58"/>
      <c r="N84" s="58"/>
    </row>
    <row r="85" spans="12:14">
      <c r="L85" s="58"/>
      <c r="M85" s="58"/>
      <c r="N85" s="58"/>
    </row>
    <row r="86" spans="12:14">
      <c r="L86" s="58"/>
      <c r="M86" s="58"/>
      <c r="N86" s="58"/>
    </row>
    <row r="87" spans="12:14">
      <c r="L87" s="58"/>
      <c r="M87" s="58"/>
      <c r="N87" s="58"/>
    </row>
    <row r="88" spans="12:14">
      <c r="L88" s="58"/>
      <c r="M88" s="58"/>
      <c r="N88" s="58"/>
    </row>
    <row r="89" spans="12:14">
      <c r="L89" s="58"/>
      <c r="M89" s="58"/>
      <c r="N89" s="58"/>
    </row>
    <row r="90" spans="12:14">
      <c r="L90" s="58"/>
      <c r="M90" s="58"/>
      <c r="N90" s="58"/>
    </row>
    <row r="91" spans="12:14">
      <c r="L91" s="58"/>
      <c r="M91" s="58"/>
      <c r="N91" s="58"/>
    </row>
    <row r="92" spans="12:14">
      <c r="L92" s="58"/>
      <c r="M92" s="58"/>
      <c r="N92" s="58"/>
    </row>
    <row r="93" spans="12:14">
      <c r="L93" s="58"/>
      <c r="M93" s="58"/>
      <c r="N93" s="58"/>
    </row>
    <row r="94" spans="12:14">
      <c r="L94" s="58"/>
      <c r="M94" s="58"/>
      <c r="N94" s="58"/>
    </row>
    <row r="95" spans="12:14">
      <c r="L95" s="58"/>
      <c r="M95" s="58"/>
      <c r="N95" s="58"/>
    </row>
    <row r="96" spans="12:14">
      <c r="L96" s="58"/>
      <c r="M96" s="58"/>
      <c r="N96" s="58"/>
    </row>
    <row r="97" spans="12:14">
      <c r="L97" s="58"/>
      <c r="M97" s="58"/>
      <c r="N97" s="58"/>
    </row>
    <row r="98" spans="12:14">
      <c r="L98" s="58"/>
      <c r="M98" s="58"/>
      <c r="N98" s="58"/>
    </row>
    <row r="99" spans="12:14">
      <c r="L99" s="58"/>
      <c r="M99" s="58"/>
      <c r="N99" s="58"/>
    </row>
    <row r="100" spans="12:14">
      <c r="L100" s="58"/>
      <c r="M100" s="58"/>
      <c r="N100" s="58"/>
    </row>
    <row r="101" spans="12:14">
      <c r="L101" s="58"/>
      <c r="M101" s="58"/>
      <c r="N101" s="58"/>
    </row>
    <row r="102" spans="12:14">
      <c r="L102" s="58"/>
      <c r="M102" s="58"/>
      <c r="N102" s="58"/>
    </row>
    <row r="103" spans="12:14">
      <c r="L103" s="58"/>
      <c r="M103" s="58"/>
      <c r="N103" s="58"/>
    </row>
    <row r="104" spans="12:14">
      <c r="L104" s="58"/>
      <c r="M104" s="58"/>
      <c r="N104" s="58"/>
    </row>
    <row r="105" spans="12:14">
      <c r="L105" s="58"/>
      <c r="M105" s="58"/>
      <c r="N105" s="58"/>
    </row>
    <row r="106" spans="12:14">
      <c r="L106" s="58"/>
      <c r="M106" s="58"/>
      <c r="N106" s="58"/>
    </row>
    <row r="107" spans="12:14">
      <c r="L107" s="58"/>
      <c r="M107" s="58"/>
      <c r="N107" s="58"/>
    </row>
    <row r="108" spans="12:14">
      <c r="L108" s="58"/>
      <c r="M108" s="58"/>
      <c r="N108" s="58"/>
    </row>
    <row r="109" spans="12:14">
      <c r="L109" s="58"/>
      <c r="M109" s="58"/>
      <c r="N109" s="58"/>
    </row>
    <row r="110" spans="12:14">
      <c r="L110" s="58"/>
      <c r="M110" s="58"/>
      <c r="N110" s="58"/>
    </row>
    <row r="111" spans="12:14">
      <c r="L111" s="58"/>
      <c r="M111" s="58"/>
      <c r="N111" s="58"/>
    </row>
    <row r="112" spans="12:14">
      <c r="L112" s="58"/>
      <c r="M112" s="58"/>
      <c r="N112" s="58"/>
    </row>
    <row r="113" spans="12:14">
      <c r="L113" s="58"/>
      <c r="M113" s="58"/>
      <c r="N113" s="58"/>
    </row>
    <row r="114" spans="12:14">
      <c r="L114" s="58"/>
      <c r="M114" s="58"/>
      <c r="N114" s="58"/>
    </row>
    <row r="115" spans="12:14">
      <c r="L115" s="58"/>
      <c r="M115" s="58"/>
      <c r="N115" s="58"/>
    </row>
    <row r="116" spans="12:14">
      <c r="L116" s="58"/>
      <c r="M116" s="58"/>
      <c r="N116" s="58"/>
    </row>
    <row r="117" spans="12:14">
      <c r="L117" s="58"/>
      <c r="M117" s="58"/>
      <c r="N117" s="58"/>
    </row>
    <row r="118" spans="12:14">
      <c r="L118" s="58"/>
      <c r="M118" s="58"/>
      <c r="N118" s="58"/>
    </row>
    <row r="119" spans="12:14">
      <c r="L119" s="58"/>
      <c r="M119" s="58"/>
      <c r="N119" s="58"/>
    </row>
    <row r="120" spans="12:14">
      <c r="L120" s="58"/>
      <c r="M120" s="58"/>
      <c r="N120" s="58"/>
    </row>
    <row r="121" spans="12:14">
      <c r="L121" s="58"/>
      <c r="M121" s="58"/>
      <c r="N121" s="58"/>
    </row>
    <row r="122" spans="12:14">
      <c r="L122" s="58"/>
      <c r="M122" s="58"/>
      <c r="N122" s="58"/>
    </row>
    <row r="123" spans="12:14">
      <c r="L123" s="58"/>
      <c r="M123" s="58"/>
      <c r="N123" s="58"/>
    </row>
    <row r="124" spans="12:14">
      <c r="L124" s="58"/>
      <c r="M124" s="58"/>
      <c r="N124" s="58"/>
    </row>
    <row r="125" spans="12:14">
      <c r="L125" s="58"/>
      <c r="M125" s="58"/>
      <c r="N125" s="58"/>
    </row>
    <row r="126" spans="12:14">
      <c r="L126" s="58"/>
      <c r="M126" s="58"/>
      <c r="N126" s="58"/>
    </row>
    <row r="127" spans="12:14">
      <c r="L127" s="58"/>
      <c r="M127" s="58"/>
      <c r="N127" s="58"/>
    </row>
    <row r="128" spans="12:14">
      <c r="L128" s="58"/>
      <c r="M128" s="58"/>
      <c r="N128" s="58"/>
    </row>
    <row r="129" spans="12:14">
      <c r="L129" s="58"/>
      <c r="M129" s="58"/>
      <c r="N129" s="58"/>
    </row>
    <row r="130" spans="12:14">
      <c r="L130" s="58"/>
      <c r="M130" s="58"/>
      <c r="N130" s="58"/>
    </row>
    <row r="131" spans="12:14">
      <c r="L131" s="58"/>
      <c r="M131" s="58"/>
      <c r="N131" s="58"/>
    </row>
    <row r="132" spans="12:14">
      <c r="L132" s="58"/>
      <c r="M132" s="58"/>
      <c r="N132" s="58"/>
    </row>
    <row r="133" spans="12:14">
      <c r="L133" s="58"/>
      <c r="M133" s="58"/>
      <c r="N133" s="58"/>
    </row>
    <row r="134" spans="12:14">
      <c r="L134" s="58"/>
      <c r="M134" s="58"/>
      <c r="N134" s="58"/>
    </row>
    <row r="135" spans="12:14">
      <c r="L135" s="58"/>
      <c r="M135" s="58"/>
      <c r="N135" s="58"/>
    </row>
    <row r="136" spans="12:14">
      <c r="L136" s="58"/>
      <c r="M136" s="58"/>
      <c r="N136" s="58"/>
    </row>
    <row r="137" spans="12:14">
      <c r="L137" s="58"/>
      <c r="M137" s="58"/>
      <c r="N137" s="58"/>
    </row>
    <row r="138" spans="12:14">
      <c r="L138" s="58"/>
      <c r="M138" s="58"/>
      <c r="N138" s="58"/>
    </row>
    <row r="139" spans="12:14">
      <c r="L139" s="58"/>
      <c r="M139" s="58"/>
      <c r="N139" s="58"/>
    </row>
    <row r="140" spans="12:14">
      <c r="L140" s="58"/>
      <c r="M140" s="58"/>
      <c r="N140" s="58"/>
    </row>
    <row r="141" spans="12:14">
      <c r="L141" s="58"/>
      <c r="M141" s="58"/>
      <c r="N141" s="58"/>
    </row>
    <row r="142" spans="12:14">
      <c r="L142" s="58"/>
      <c r="M142" s="58"/>
      <c r="N142" s="58"/>
    </row>
    <row r="143" spans="12:14">
      <c r="L143" s="58"/>
      <c r="M143" s="58"/>
      <c r="N143" s="58"/>
    </row>
    <row r="144" spans="12:14">
      <c r="L144" s="58"/>
      <c r="M144" s="58"/>
      <c r="N144" s="58"/>
    </row>
    <row r="145" spans="12:14">
      <c r="L145" s="58"/>
      <c r="M145" s="58"/>
      <c r="N145" s="58"/>
    </row>
    <row r="146" spans="12:14">
      <c r="L146" s="58"/>
      <c r="M146" s="58"/>
      <c r="N146" s="58"/>
    </row>
    <row r="147" spans="12:14">
      <c r="L147" s="58"/>
      <c r="M147" s="58"/>
      <c r="N147" s="58"/>
    </row>
    <row r="148" spans="12:14">
      <c r="L148" s="58"/>
      <c r="M148" s="58"/>
      <c r="N148" s="58"/>
    </row>
    <row r="149" spans="12:14">
      <c r="L149" s="58"/>
      <c r="M149" s="58"/>
      <c r="N149" s="58"/>
    </row>
    <row r="150" spans="12:14">
      <c r="L150" s="58"/>
      <c r="M150" s="58"/>
      <c r="N150" s="58"/>
    </row>
    <row r="151" spans="12:14">
      <c r="L151" s="58"/>
      <c r="M151" s="58"/>
      <c r="N151" s="58"/>
    </row>
    <row r="152" spans="12:14">
      <c r="L152" s="58"/>
      <c r="M152" s="58"/>
      <c r="N152" s="58"/>
    </row>
    <row r="153" spans="12:14">
      <c r="L153" s="58"/>
      <c r="M153" s="58"/>
      <c r="N153" s="58"/>
    </row>
    <row r="154" spans="12:14">
      <c r="L154" s="58"/>
      <c r="M154" s="58"/>
      <c r="N154" s="58"/>
    </row>
    <row r="155" spans="12:14">
      <c r="L155" s="58"/>
      <c r="M155" s="58"/>
      <c r="N155" s="58"/>
    </row>
    <row r="156" spans="12:14">
      <c r="L156" s="58"/>
      <c r="M156" s="58"/>
      <c r="N156" s="58"/>
    </row>
    <row r="157" spans="12:14">
      <c r="L157" s="58"/>
      <c r="M157" s="58"/>
      <c r="N157" s="58"/>
    </row>
    <row r="158" spans="12:14">
      <c r="L158" s="58"/>
      <c r="M158" s="58"/>
      <c r="N158" s="58"/>
    </row>
    <row r="159" spans="12:14">
      <c r="L159" s="58"/>
      <c r="M159" s="58"/>
      <c r="N159" s="58"/>
    </row>
    <row r="160" spans="12:14">
      <c r="L160" s="58"/>
      <c r="M160" s="58"/>
      <c r="N160" s="58"/>
    </row>
    <row r="161" spans="12:14">
      <c r="L161" s="58"/>
      <c r="M161" s="58"/>
      <c r="N161" s="58"/>
    </row>
    <row r="162" spans="12:14">
      <c r="L162" s="58"/>
      <c r="M162" s="58"/>
      <c r="N162" s="58"/>
    </row>
    <row r="163" spans="12:14">
      <c r="L163" s="58"/>
      <c r="M163" s="58"/>
      <c r="N163" s="58"/>
    </row>
    <row r="164" spans="12:14">
      <c r="L164" s="58"/>
      <c r="M164" s="58"/>
      <c r="N164" s="58"/>
    </row>
    <row r="165" spans="12:14">
      <c r="L165" s="58"/>
      <c r="M165" s="58"/>
      <c r="N165" s="58"/>
    </row>
    <row r="166" spans="12:14">
      <c r="L166" s="58"/>
      <c r="M166" s="58"/>
      <c r="N166" s="58"/>
    </row>
    <row r="167" spans="12:14">
      <c r="L167" s="58"/>
      <c r="M167" s="58"/>
      <c r="N167" s="58"/>
    </row>
    <row r="168" spans="12:14">
      <c r="L168" s="58"/>
      <c r="M168" s="58"/>
      <c r="N168" s="58"/>
    </row>
    <row r="169" spans="12:14">
      <c r="L169" s="58"/>
      <c r="M169" s="58"/>
      <c r="N169" s="58"/>
    </row>
    <row r="170" spans="12:14">
      <c r="L170" s="58"/>
      <c r="M170" s="58"/>
      <c r="N170" s="58"/>
    </row>
    <row r="171" spans="12:14">
      <c r="L171" s="58"/>
      <c r="M171" s="58"/>
      <c r="N171" s="58"/>
    </row>
    <row r="172" spans="12:14">
      <c r="L172" s="58"/>
      <c r="M172" s="58"/>
      <c r="N172" s="58"/>
    </row>
    <row r="173" spans="12:14">
      <c r="L173" s="58"/>
      <c r="M173" s="58"/>
      <c r="N173" s="58"/>
    </row>
    <row r="174" spans="12:14">
      <c r="L174" s="58"/>
      <c r="M174" s="58"/>
      <c r="N174" s="58"/>
    </row>
    <row r="175" spans="12:14">
      <c r="L175" s="58"/>
      <c r="M175" s="58"/>
      <c r="N175" s="58"/>
    </row>
    <row r="176" spans="12:14">
      <c r="L176" s="58"/>
      <c r="M176" s="58"/>
      <c r="N176" s="58"/>
    </row>
    <row r="177" spans="12:14">
      <c r="L177" s="58"/>
      <c r="M177" s="58"/>
      <c r="N177" s="58"/>
    </row>
    <row r="178" spans="12:14">
      <c r="L178" s="58"/>
      <c r="M178" s="58"/>
      <c r="N178" s="58"/>
    </row>
    <row r="179" spans="12:14">
      <c r="L179" s="58"/>
      <c r="M179" s="58"/>
      <c r="N179" s="58"/>
    </row>
    <row r="180" spans="12:14">
      <c r="L180" s="58"/>
      <c r="M180" s="58"/>
      <c r="N180" s="58"/>
    </row>
    <row r="181" spans="12:14">
      <c r="L181" s="58"/>
      <c r="M181" s="58"/>
      <c r="N181" s="58"/>
    </row>
    <row r="182" spans="12:14">
      <c r="L182" s="58"/>
      <c r="M182" s="58"/>
      <c r="N182" s="58"/>
    </row>
    <row r="183" spans="12:14">
      <c r="L183" s="58"/>
      <c r="M183" s="58"/>
      <c r="N183" s="58"/>
    </row>
    <row r="184" spans="12:14">
      <c r="L184" s="58"/>
      <c r="M184" s="58"/>
      <c r="N184" s="58"/>
    </row>
    <row r="185" spans="12:14">
      <c r="L185" s="58"/>
      <c r="M185" s="58"/>
      <c r="N185" s="58"/>
    </row>
    <row r="186" spans="12:14">
      <c r="L186" s="58"/>
      <c r="M186" s="58"/>
      <c r="N186" s="58"/>
    </row>
    <row r="187" spans="12:14">
      <c r="L187" s="58"/>
      <c r="M187" s="58"/>
      <c r="N187" s="58"/>
    </row>
    <row r="188" spans="12:14">
      <c r="L188" s="58"/>
      <c r="M188" s="58"/>
      <c r="N188" s="58"/>
    </row>
    <row r="189" spans="12:14">
      <c r="L189" s="58"/>
      <c r="M189" s="58"/>
      <c r="N189" s="58"/>
    </row>
    <row r="190" spans="12:14">
      <c r="L190" s="58"/>
      <c r="M190" s="58"/>
      <c r="N190" s="58"/>
    </row>
    <row r="191" spans="12:14">
      <c r="L191" s="58"/>
      <c r="M191" s="58"/>
      <c r="N191" s="58"/>
    </row>
    <row r="192" spans="12:14">
      <c r="L192" s="58"/>
      <c r="M192" s="58"/>
      <c r="N192" s="58"/>
    </row>
    <row r="193" spans="12:14">
      <c r="L193" s="58"/>
      <c r="M193" s="58"/>
      <c r="N193" s="58"/>
    </row>
    <row r="194" spans="12:14">
      <c r="L194" s="58"/>
      <c r="M194" s="58"/>
      <c r="N194" s="58"/>
    </row>
    <row r="195" spans="12:14">
      <c r="L195" s="58"/>
      <c r="M195" s="58"/>
      <c r="N195" s="58"/>
    </row>
    <row r="196" spans="12:14">
      <c r="L196" s="58"/>
      <c r="M196" s="58"/>
      <c r="N196" s="58"/>
    </row>
    <row r="197" spans="12:14">
      <c r="L197" s="58"/>
      <c r="M197" s="58"/>
      <c r="N197" s="58"/>
    </row>
    <row r="198" spans="12:14">
      <c r="L198" s="58"/>
      <c r="M198" s="58"/>
      <c r="N198" s="58"/>
    </row>
    <row r="199" spans="12:14">
      <c r="L199" s="58"/>
      <c r="M199" s="58"/>
      <c r="N199" s="58"/>
    </row>
    <row r="200" spans="12:14">
      <c r="L200" s="58"/>
      <c r="M200" s="58"/>
      <c r="N200" s="58"/>
    </row>
    <row r="201" spans="12:14">
      <c r="L201" s="58"/>
      <c r="M201" s="58"/>
      <c r="N201" s="58"/>
    </row>
    <row r="202" spans="12:14">
      <c r="L202" s="58"/>
      <c r="M202" s="58"/>
      <c r="N202" s="58"/>
    </row>
    <row r="203" spans="12:14">
      <c r="L203" s="58"/>
      <c r="M203" s="58"/>
      <c r="N203" s="58"/>
    </row>
    <row r="204" spans="12:14">
      <c r="L204" s="58"/>
      <c r="M204" s="58"/>
      <c r="N204" s="58"/>
    </row>
    <row r="205" spans="12:14">
      <c r="L205" s="58"/>
      <c r="M205" s="58"/>
      <c r="N205" s="58"/>
    </row>
    <row r="206" spans="12:14">
      <c r="L206" s="58"/>
      <c r="M206" s="58"/>
      <c r="N206" s="58"/>
    </row>
    <row r="207" spans="12:14">
      <c r="L207" s="58"/>
      <c r="M207" s="58"/>
      <c r="N207" s="58"/>
    </row>
    <row r="208" spans="12:14">
      <c r="L208" s="58"/>
      <c r="M208" s="58"/>
      <c r="N208" s="58"/>
    </row>
    <row r="209" spans="12:14">
      <c r="L209" s="58"/>
      <c r="M209" s="58"/>
      <c r="N209" s="58"/>
    </row>
    <row r="210" spans="12:14">
      <c r="L210" s="58"/>
      <c r="M210" s="58"/>
      <c r="N210" s="58"/>
    </row>
    <row r="211" spans="12:14">
      <c r="L211" s="58"/>
      <c r="M211" s="58"/>
      <c r="N211" s="58"/>
    </row>
  </sheetData>
  <hyperlinks>
    <hyperlink ref="G2" r:id="rId1" xr:uid="{01312DA7-E411-4A47-AA6A-3EA0F8EF8E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Graphiques</vt:lpstr>
      </vt:variant>
      <vt:variant>
        <vt:i4>3</vt:i4>
      </vt:variant>
    </vt:vector>
  </HeadingPairs>
  <TitlesOfParts>
    <vt:vector size="8" baseType="lpstr">
      <vt:lpstr>IPC</vt:lpstr>
      <vt:lpstr>calculs</vt:lpstr>
      <vt:lpstr>salaire minimum</vt:lpstr>
      <vt:lpstr>Revenu disponible</vt:lpstr>
      <vt:lpstr>IDH</vt:lpstr>
      <vt:lpstr>Graphe IPC</vt:lpstr>
      <vt:lpstr>Graphe salaire</vt:lpstr>
      <vt:lpstr>Graphe IPC_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Prudhomme</dc:creator>
  <cp:lastModifiedBy>decah</cp:lastModifiedBy>
  <dcterms:created xsi:type="dcterms:W3CDTF">2019-10-05T04:31:16Z</dcterms:created>
  <dcterms:modified xsi:type="dcterms:W3CDTF">2022-03-26T03:59:48Z</dcterms:modified>
</cp:coreProperties>
</file>