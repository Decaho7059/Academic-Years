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ah\Downloads\"/>
    </mc:Choice>
  </mc:AlternateContent>
  <xr:revisionPtr revIDLastSave="0" documentId="13_ncr:1_{120409C8-C429-4238-A300-D23B462610F8}" xr6:coauthVersionLast="45" xr6:coauthVersionMax="45" xr10:uidLastSave="{00000000-0000-0000-0000-000000000000}"/>
  <bookViews>
    <workbookView xWindow="9948" yWindow="1980" windowWidth="9912" windowHeight="8964" xr2:uid="{54DCEBD9-9D6D-4E8F-8DAD-DA4BBA7F43A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G6" i="1" l="1"/>
  <c r="H6" i="1" s="1"/>
  <c r="G5" i="1"/>
  <c r="H5" i="1" s="1"/>
  <c r="G4" i="1"/>
  <c r="H4" i="1" s="1"/>
  <c r="G3" i="1"/>
  <c r="H3" i="1" s="1"/>
  <c r="G2" i="1"/>
  <c r="H2" i="1" s="1"/>
  <c r="G1" i="1"/>
  <c r="H1" i="1" s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<sst xmlns="http://schemas.openxmlformats.org/spreadsheetml/2006/main" count="5" uniqueCount="5">
  <si>
    <t>Accélération moyenne</t>
  </si>
  <si>
    <t>Incertitude</t>
  </si>
  <si>
    <t xml:space="preserve">de </t>
  </si>
  <si>
    <t>l'accélération moyenne</t>
  </si>
  <si>
    <t>s ecartype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</si>
</sst>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9C91-6B8F-4868-8F55-1F07793E37EB}">
  <dimension ref="A1:J9"/>
  <sheetViews>
    <sheetView tabSelected="1" topLeftCell="D1" workbookViewId="0">
      <selection activeCell="J9" sqref="J9"/>
    </sheetView>
  </sheetViews>
  <sheetFormatPr baseColWidth="10" defaultRowHeight="14.4" x14ac:dyDescent="0.3"/>
  <sheetData>
    <row r="1" spans="1:10" x14ac:dyDescent="0.3">
      <c r="A1">
        <v>0.2296</v>
      </c>
      <c r="B1">
        <v>0.21990000000000001</v>
      </c>
      <c r="C1">
        <v>0.23080000000000001</v>
      </c>
      <c r="E1">
        <f t="shared" ref="E1:E6" si="0">AVERAGE(A1:C1)</f>
        <v>0.22676666666666667</v>
      </c>
      <c r="G1">
        <f t="shared" ref="G1:G6" si="1">_xlfn.STDEV.S(A1:C1)</f>
        <v>5.9768999768553318E-3</v>
      </c>
      <c r="H1">
        <f t="shared" ref="H1:H6" si="2">G1/SQRT(3)</f>
        <v>3.450764810556894E-3</v>
      </c>
      <c r="J1">
        <v>22.75</v>
      </c>
    </row>
    <row r="2" spans="1:10" x14ac:dyDescent="0.3">
      <c r="A2">
        <v>0.46970000000000001</v>
      </c>
      <c r="B2">
        <v>0.47349999999999998</v>
      </c>
      <c r="C2">
        <v>0.47549999999999998</v>
      </c>
      <c r="E2">
        <f t="shared" si="0"/>
        <v>0.47290000000000004</v>
      </c>
      <c r="G2">
        <f t="shared" si="1"/>
        <v>2.9461839725312315E-3</v>
      </c>
      <c r="H2">
        <f t="shared" si="2"/>
        <v>1.7009801096230677E-3</v>
      </c>
      <c r="J2">
        <v>30.6</v>
      </c>
    </row>
    <row r="3" spans="1:10" x14ac:dyDescent="0.3">
      <c r="A3">
        <v>0.6956</v>
      </c>
      <c r="B3">
        <v>0.68</v>
      </c>
      <c r="C3">
        <v>0.69210000000000005</v>
      </c>
      <c r="E3">
        <f t="shared" si="0"/>
        <v>0.68923333333333325</v>
      </c>
      <c r="G3">
        <f t="shared" si="1"/>
        <v>8.1855563850805526E-3</v>
      </c>
      <c r="H3">
        <f t="shared" si="2"/>
        <v>4.725933182393117E-3</v>
      </c>
      <c r="J3">
        <v>36.549999999999997</v>
      </c>
    </row>
    <row r="4" spans="1:10" x14ac:dyDescent="0.3">
      <c r="A4">
        <v>0.91200000000000003</v>
      </c>
      <c r="B4">
        <v>0.92769999999999997</v>
      </c>
      <c r="C4">
        <v>0.91449999999999998</v>
      </c>
      <c r="E4">
        <f t="shared" si="0"/>
        <v>0.9180666666666667</v>
      </c>
      <c r="G4">
        <f t="shared" si="1"/>
        <v>8.4358362557207626E-3</v>
      </c>
      <c r="H4">
        <f t="shared" si="2"/>
        <v>4.8704323330799873E-3</v>
      </c>
      <c r="J4">
        <v>43.8</v>
      </c>
    </row>
    <row r="5" spans="1:10" x14ac:dyDescent="0.3">
      <c r="A5">
        <v>1.1509</v>
      </c>
      <c r="B5">
        <v>1.1203000000000001</v>
      </c>
      <c r="C5">
        <v>1.1194999999999999</v>
      </c>
      <c r="E5">
        <f t="shared" si="0"/>
        <v>1.1302333333333334</v>
      </c>
      <c r="G5">
        <f t="shared" si="1"/>
        <v>1.790232759540876E-2</v>
      </c>
      <c r="H5">
        <f t="shared" si="2"/>
        <v>1.0335913656330114E-2</v>
      </c>
    </row>
    <row r="6" spans="1:10" x14ac:dyDescent="0.3">
      <c r="A6">
        <v>1.3214999999999999</v>
      </c>
      <c r="B6">
        <v>1.3182</v>
      </c>
      <c r="C6">
        <v>1.3280000000000001</v>
      </c>
      <c r="E6">
        <f t="shared" si="0"/>
        <v>1.3225666666666667</v>
      </c>
      <c r="G6">
        <f t="shared" si="1"/>
        <v>4.9863146043278954E-3</v>
      </c>
      <c r="H6">
        <f t="shared" si="2"/>
        <v>2.8788500790728729E-3</v>
      </c>
      <c r="J6">
        <f>AVERAGE(J1:J4)</f>
        <v>33.424999999999997</v>
      </c>
    </row>
    <row r="7" spans="1:10" x14ac:dyDescent="0.3">
      <c r="D7" t="s">
        <v>0</v>
      </c>
      <c r="H7" t="s">
        <v>1</v>
      </c>
      <c r="J7">
        <f>_xlfn.STDEV.S(J1:J4)</f>
        <v>8.9320117181591989</v>
      </c>
    </row>
    <row r="8" spans="1:10" x14ac:dyDescent="0.3">
      <c r="G8" t="s">
        <v>4</v>
      </c>
      <c r="H8" t="s">
        <v>2</v>
      </c>
      <c r="J8">
        <f>J7/SQRT(4)</f>
        <v>4.4660058590795995</v>
      </c>
    </row>
    <row r="9" spans="1:10" x14ac:dyDescent="0.3">
      <c r="H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decah</dc:creator>
  <cp:lastModifiedBy>decah</cp:lastModifiedBy>
  <dcterms:created xsi:type="dcterms:W3CDTF">2021-02-20T21:21:18Z</dcterms:created>
  <dcterms:modified xsi:type="dcterms:W3CDTF">2021-02-21T04:07:55Z</dcterms:modified>
</cp:coreProperties>
</file>